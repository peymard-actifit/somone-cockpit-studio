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\ActifIT Dropbox\Patrick Eymard\Crypted\Somone\"/>
    </mc:Choice>
  </mc:AlternateContent>
  <xr:revisionPtr revIDLastSave="0" documentId="13_ncr:1_{88818657-2C7A-4867-A617-90BFBC91EC9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Zones" sheetId="1" r:id="rId1"/>
    <sheet name="Templates" sheetId="4" r:id="rId2"/>
    <sheet name="Domains" sheetId="9" r:id="rId3"/>
    <sheet name="Categories" sheetId="2" r:id="rId4"/>
    <sheet name="Element Discoveries" sheetId="10" r:id="rId5"/>
    <sheet name="Elements" sheetId="11" r:id="rId6"/>
    <sheet name="Items" sheetId="5" r:id="rId7"/>
    <sheet name="Triggers" sheetId="8" r:id="rId8"/>
    <sheet name="alert list" sheetId="6" r:id="rId9"/>
    <sheet name="Elements-old" sheetId="3" r:id="rId10"/>
    <sheet name="Items-old" sheetId="12" r:id="rId11"/>
  </sheets>
  <definedNames>
    <definedName name="_xlnm._FilterDatabase" localSheetId="7" hidden="1">Triggers!$A$1:$V$83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B44" i="12"/>
  <c r="B43" i="12"/>
  <c r="B42" i="12"/>
  <c r="B41" i="12"/>
  <c r="B40" i="12"/>
  <c r="C39" i="12"/>
  <c r="A39" i="12"/>
  <c r="B39" i="12" s="1"/>
  <c r="C38" i="12"/>
  <c r="A38" i="12"/>
  <c r="B38" i="12" s="1"/>
  <c r="B37" i="12"/>
  <c r="C36" i="12"/>
  <c r="A36" i="12"/>
  <c r="B36" i="12" s="1"/>
  <c r="C35" i="12"/>
  <c r="A35" i="12"/>
  <c r="B35" i="12" s="1"/>
  <c r="B34" i="12"/>
  <c r="C33" i="12"/>
  <c r="A33" i="12"/>
  <c r="B33" i="12" s="1"/>
  <c r="C32" i="12"/>
  <c r="A32" i="12"/>
  <c r="B32" i="12" s="1"/>
  <c r="B31" i="12"/>
  <c r="C30" i="12"/>
  <c r="B30" i="12"/>
  <c r="C29" i="12"/>
  <c r="B29" i="12"/>
  <c r="B28" i="12"/>
  <c r="C27" i="12"/>
  <c r="B27" i="12"/>
  <c r="C26" i="12"/>
  <c r="B26" i="12"/>
  <c r="B25" i="12"/>
  <c r="B24" i="12"/>
  <c r="C23" i="12"/>
  <c r="B23" i="12"/>
  <c r="C22" i="12"/>
  <c r="B22" i="12"/>
  <c r="B21" i="12"/>
  <c r="C20" i="12"/>
  <c r="B20" i="12"/>
  <c r="C19" i="12"/>
  <c r="B19" i="12"/>
  <c r="B18" i="12"/>
  <c r="C17" i="12"/>
  <c r="B17" i="12"/>
  <c r="C16" i="12"/>
  <c r="B16" i="12"/>
  <c r="B15" i="12"/>
  <c r="C14" i="12"/>
  <c r="B14" i="12"/>
  <c r="C13" i="12"/>
  <c r="B13" i="12"/>
  <c r="B12" i="12"/>
  <c r="C11" i="12"/>
  <c r="B11" i="12"/>
  <c r="C10" i="12"/>
  <c r="B10" i="12"/>
  <c r="B9" i="12"/>
  <c r="B8" i="12"/>
  <c r="B7" i="12"/>
  <c r="B6" i="12"/>
  <c r="B5" i="12"/>
  <c r="B4" i="12"/>
  <c r="B3" i="12"/>
  <c r="B2" i="12"/>
  <c r="B21" i="5"/>
  <c r="B22" i="5"/>
  <c r="B9" i="5"/>
  <c r="B11" i="5"/>
  <c r="B12" i="5"/>
  <c r="B13" i="5"/>
  <c r="B14" i="5"/>
  <c r="B15" i="5"/>
  <c r="B16" i="5"/>
  <c r="B17" i="5"/>
  <c r="B18" i="5"/>
  <c r="B19" i="5"/>
  <c r="B3" i="5"/>
  <c r="B5" i="5"/>
  <c r="B6" i="5"/>
  <c r="B4" i="5"/>
  <c r="B7" i="5"/>
  <c r="B8" i="5"/>
  <c r="B20" i="5"/>
  <c r="B2" i="5"/>
  <c r="B2" i="2"/>
  <c r="D6" i="11"/>
  <c r="B2" i="4"/>
  <c r="C4" i="2"/>
  <c r="C5" i="2"/>
  <c r="B6" i="1"/>
  <c r="D5" i="11" l="1"/>
  <c r="D7" i="11"/>
  <c r="E47" i="6"/>
  <c r="H37" i="6"/>
  <c r="I20" i="6"/>
  <c r="I18" i="6"/>
  <c r="C17" i="6"/>
  <c r="C11" i="6"/>
  <c r="I13" i="6"/>
  <c r="E67" i="6"/>
  <c r="E11" i="6"/>
  <c r="I4" i="6" l="1"/>
  <c r="B4" i="2"/>
  <c r="B4" i="4"/>
  <c r="B6" i="4"/>
  <c r="B7" i="4"/>
  <c r="B3" i="4"/>
  <c r="B5" i="1"/>
  <c r="D3" i="4"/>
  <c r="D4" i="4" s="1"/>
  <c r="D5" i="4" s="1"/>
  <c r="D6" i="4" s="1"/>
  <c r="D7" i="4" s="1"/>
  <c r="D8" i="4" s="1"/>
  <c r="E3" i="6"/>
  <c r="E4" i="6"/>
  <c r="E5" i="6"/>
  <c r="E6" i="6"/>
  <c r="E7" i="6"/>
  <c r="E8" i="6"/>
  <c r="E9" i="6"/>
  <c r="E10" i="6"/>
  <c r="E14" i="6"/>
  <c r="E18" i="6"/>
  <c r="E22" i="6"/>
  <c r="E23" i="6"/>
  <c r="E25" i="6"/>
  <c r="E27" i="6"/>
  <c r="E30" i="6"/>
  <c r="E31" i="6"/>
  <c r="E32" i="6"/>
  <c r="E33" i="6"/>
  <c r="E34" i="6"/>
  <c r="E35" i="6"/>
  <c r="E36" i="6"/>
  <c r="E37" i="6"/>
  <c r="E38" i="6"/>
  <c r="E39" i="6"/>
  <c r="E43" i="6"/>
  <c r="E49" i="6"/>
  <c r="E53" i="6"/>
  <c r="E54" i="6"/>
  <c r="E58" i="6"/>
  <c r="E59" i="6"/>
  <c r="E62" i="6"/>
  <c r="E63" i="6"/>
  <c r="E64" i="6"/>
  <c r="E65" i="6"/>
  <c r="E66" i="6"/>
  <c r="E69" i="6"/>
  <c r="E72" i="6"/>
  <c r="E2" i="6"/>
  <c r="I61" i="6"/>
  <c r="H61" i="6"/>
  <c r="G61" i="6"/>
  <c r="C61" i="6"/>
  <c r="I60" i="6"/>
  <c r="H60" i="6"/>
  <c r="G60" i="6"/>
  <c r="C60" i="6"/>
  <c r="I56" i="6"/>
  <c r="H56" i="6"/>
  <c r="G56" i="6"/>
  <c r="C56" i="6"/>
  <c r="I55" i="6"/>
  <c r="H55" i="6"/>
  <c r="G55" i="6"/>
  <c r="C55" i="6"/>
  <c r="I53" i="6"/>
  <c r="H53" i="6"/>
  <c r="G53" i="6"/>
  <c r="C53" i="6"/>
  <c r="I52" i="6"/>
  <c r="H52" i="6"/>
  <c r="G52" i="6"/>
  <c r="C52" i="6"/>
  <c r="I50" i="6"/>
  <c r="H50" i="6"/>
  <c r="G50" i="6"/>
  <c r="C50" i="6"/>
  <c r="I49" i="6"/>
  <c r="H49" i="6"/>
  <c r="G49" i="6"/>
  <c r="C49" i="6"/>
  <c r="I47" i="6"/>
  <c r="H47" i="6"/>
  <c r="G47" i="6"/>
  <c r="C47" i="6"/>
  <c r="I46" i="6"/>
  <c r="H46" i="6"/>
  <c r="G46" i="6"/>
  <c r="C46" i="6"/>
  <c r="I44" i="6"/>
  <c r="H44" i="6"/>
  <c r="G44" i="6"/>
  <c r="C44" i="6"/>
  <c r="I43" i="6"/>
  <c r="H43" i="6"/>
  <c r="G43" i="6"/>
  <c r="C43" i="6"/>
  <c r="I41" i="6"/>
  <c r="H41" i="6"/>
  <c r="G41" i="6"/>
  <c r="C41" i="6"/>
  <c r="I40" i="6"/>
  <c r="H40" i="6"/>
  <c r="G40" i="6"/>
  <c r="C40" i="6"/>
  <c r="I29" i="6"/>
  <c r="H29" i="6"/>
  <c r="G29" i="6"/>
  <c r="C29" i="6"/>
  <c r="I28" i="6"/>
  <c r="H28" i="6"/>
  <c r="G28" i="6"/>
  <c r="C28" i="6"/>
  <c r="I26" i="6"/>
  <c r="H26" i="6"/>
  <c r="G26" i="6"/>
  <c r="C26" i="6"/>
  <c r="I25" i="6"/>
  <c r="H25" i="6"/>
  <c r="G25" i="6"/>
  <c r="C25" i="6"/>
  <c r="I22" i="6"/>
  <c r="H22" i="6"/>
  <c r="G22" i="6"/>
  <c r="C22" i="6"/>
  <c r="I21" i="6"/>
  <c r="H21" i="6"/>
  <c r="G21" i="6"/>
  <c r="C21" i="6"/>
  <c r="I19" i="6"/>
  <c r="H19" i="6"/>
  <c r="G19" i="6"/>
  <c r="C19" i="6"/>
  <c r="H18" i="6"/>
  <c r="G18" i="6"/>
  <c r="C18" i="6"/>
  <c r="I16" i="6"/>
  <c r="H16" i="6"/>
  <c r="G16" i="6"/>
  <c r="C16" i="6"/>
  <c r="I15" i="6"/>
  <c r="H15" i="6"/>
  <c r="G15" i="6"/>
  <c r="C15" i="6"/>
  <c r="H62" i="6"/>
  <c r="H63" i="6"/>
  <c r="H64" i="6"/>
  <c r="H65" i="6"/>
  <c r="H66" i="6"/>
  <c r="H67" i="6"/>
  <c r="H68" i="6"/>
  <c r="H69" i="6"/>
  <c r="H70" i="6"/>
  <c r="H71" i="6"/>
  <c r="H72" i="6"/>
  <c r="I3" i="6"/>
  <c r="I5" i="6"/>
  <c r="I6" i="6"/>
  <c r="I7" i="6"/>
  <c r="I8" i="6"/>
  <c r="I9" i="6"/>
  <c r="I10" i="6"/>
  <c r="I11" i="6"/>
  <c r="I12" i="6"/>
  <c r="I14" i="6"/>
  <c r="I17" i="6"/>
  <c r="I23" i="6"/>
  <c r="I24" i="6"/>
  <c r="I27" i="6"/>
  <c r="I30" i="6"/>
  <c r="I31" i="6"/>
  <c r="I32" i="6"/>
  <c r="I33" i="6"/>
  <c r="I34" i="6"/>
  <c r="I35" i="6"/>
  <c r="I36" i="6"/>
  <c r="I37" i="6"/>
  <c r="I38" i="6"/>
  <c r="I39" i="6"/>
  <c r="I42" i="6"/>
  <c r="I45" i="6"/>
  <c r="I48" i="6"/>
  <c r="I51" i="6"/>
  <c r="I54" i="6"/>
  <c r="I57" i="6"/>
  <c r="I58" i="6"/>
  <c r="I59" i="6"/>
  <c r="I62" i="6"/>
  <c r="I63" i="6"/>
  <c r="I64" i="6"/>
  <c r="I65" i="6"/>
  <c r="I66" i="6"/>
  <c r="I67" i="6"/>
  <c r="I68" i="6"/>
  <c r="I69" i="6"/>
  <c r="I70" i="6"/>
  <c r="I71" i="6"/>
  <c r="I72" i="6"/>
  <c r="I2" i="6"/>
  <c r="H13" i="6"/>
  <c r="G13" i="6"/>
  <c r="C13" i="6"/>
  <c r="H12" i="6"/>
  <c r="G12" i="6"/>
  <c r="C12" i="6"/>
  <c r="H34" i="6"/>
  <c r="H7" i="6"/>
  <c r="H10" i="6"/>
  <c r="H51" i="6"/>
  <c r="G48" i="6"/>
  <c r="H42" i="6"/>
  <c r="G38" i="6"/>
  <c r="H38" i="6"/>
  <c r="H36" i="6"/>
  <c r="H33" i="6"/>
  <c r="H32" i="6"/>
  <c r="H31" i="6"/>
  <c r="H30" i="6"/>
  <c r="H27" i="6"/>
  <c r="H24" i="6"/>
  <c r="H23" i="6"/>
  <c r="H20" i="6"/>
  <c r="H17" i="6"/>
  <c r="G14" i="6"/>
  <c r="H14" i="6"/>
  <c r="H11" i="6"/>
  <c r="G10" i="6"/>
  <c r="H9" i="6"/>
  <c r="G9" i="6"/>
  <c r="G8" i="6"/>
  <c r="H8" i="6"/>
  <c r="G7" i="6"/>
  <c r="G6" i="6"/>
  <c r="H6" i="6"/>
  <c r="H5" i="6"/>
  <c r="G54" i="6"/>
  <c r="H4" i="6"/>
  <c r="G4" i="6"/>
  <c r="H3" i="6"/>
  <c r="H2" i="6"/>
  <c r="G3" i="6"/>
  <c r="G2" i="6"/>
  <c r="P2" i="8"/>
  <c r="C2" i="6"/>
  <c r="G69" i="6"/>
  <c r="C3" i="6"/>
  <c r="C4" i="6"/>
  <c r="C5" i="6"/>
  <c r="C6" i="6"/>
  <c r="C7" i="6"/>
  <c r="C8" i="6"/>
  <c r="C9" i="6"/>
  <c r="C10" i="6"/>
  <c r="C14" i="6"/>
  <c r="C20" i="6"/>
  <c r="C23" i="6"/>
  <c r="C24" i="6"/>
  <c r="C27" i="6"/>
  <c r="C30" i="6"/>
  <c r="C31" i="6"/>
  <c r="C32" i="6"/>
  <c r="C33" i="6"/>
  <c r="C34" i="6"/>
  <c r="C35" i="6"/>
  <c r="C36" i="6"/>
  <c r="C37" i="6"/>
  <c r="C38" i="6"/>
  <c r="C39" i="6"/>
  <c r="C42" i="6"/>
  <c r="C45" i="6"/>
  <c r="C48" i="6"/>
  <c r="C51" i="6"/>
  <c r="C54" i="6"/>
  <c r="C57" i="6"/>
  <c r="C58" i="6"/>
  <c r="C59" i="6"/>
  <c r="C62" i="6"/>
  <c r="C63" i="6"/>
  <c r="C64" i="6"/>
  <c r="C65" i="6"/>
  <c r="C66" i="6"/>
  <c r="C67" i="6"/>
  <c r="C68" i="6"/>
  <c r="C69" i="6"/>
  <c r="C70" i="6"/>
  <c r="C71" i="6"/>
  <c r="C72" i="6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2" i="2"/>
  <c r="D3" i="2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D8" i="1"/>
  <c r="D9" i="1"/>
  <c r="D2" i="1"/>
  <c r="D3" i="1" s="1"/>
  <c r="D4" i="1" s="1"/>
  <c r="D5" i="1" s="1"/>
  <c r="D6" i="1" s="1"/>
  <c r="C8" i="1"/>
  <c r="C9" i="1"/>
  <c r="B3" i="1"/>
  <c r="B8" i="1"/>
  <c r="B9" i="1"/>
  <c r="B2" i="1"/>
  <c r="D3" i="3" l="1"/>
  <c r="D3" i="11"/>
  <c r="D4" i="11"/>
  <c r="D2" i="11"/>
  <c r="D4" i="3"/>
  <c r="D5" i="3"/>
  <c r="D6" i="3"/>
  <c r="D7" i="3"/>
  <c r="D8" i="3"/>
  <c r="H39" i="6"/>
  <c r="G11" i="6"/>
  <c r="H54" i="6"/>
  <c r="G31" i="6"/>
  <c r="H59" i="6"/>
  <c r="H35" i="6"/>
  <c r="H48" i="6"/>
  <c r="G59" i="6"/>
  <c r="H58" i="6"/>
  <c r="G42" i="6"/>
  <c r="G58" i="6"/>
  <c r="H57" i="6"/>
  <c r="G57" i="6"/>
  <c r="G36" i="6"/>
  <c r="H45" i="6"/>
  <c r="G67" i="6"/>
  <c r="G23" i="6"/>
  <c r="G5" i="6"/>
  <c r="G27" i="6"/>
  <c r="G45" i="6"/>
  <c r="G51" i="6"/>
  <c r="G70" i="6"/>
  <c r="G37" i="6"/>
  <c r="G39" i="6"/>
  <c r="G34" i="6"/>
  <c r="G17" i="6"/>
  <c r="G30" i="6"/>
  <c r="G35" i="6"/>
  <c r="G71" i="6"/>
  <c r="G20" i="6"/>
  <c r="G24" i="6"/>
  <c r="G32" i="6"/>
  <c r="G33" i="6"/>
  <c r="G62" i="6"/>
  <c r="G63" i="6"/>
  <c r="G65" i="6"/>
  <c r="G66" i="6"/>
  <c r="G68" i="6"/>
  <c r="G72" i="6"/>
  <c r="G64" i="6"/>
  <c r="A47" i="6" l="1"/>
  <c r="A53" i="6"/>
  <c r="A42" i="6"/>
  <c r="A49" i="6"/>
  <c r="A40" i="6"/>
  <c r="A61" i="6"/>
  <c r="A56" i="6"/>
  <c r="A11" i="6"/>
  <c r="A39" i="6" l="1"/>
  <c r="A43" i="6"/>
  <c r="A46" i="6"/>
  <c r="A51" i="6"/>
  <c r="A41" i="6"/>
  <c r="A44" i="6"/>
  <c r="A52" i="6"/>
  <c r="A45" i="6"/>
  <c r="A50" i="6"/>
  <c r="A48" i="6"/>
  <c r="A54" i="6"/>
  <c r="A55" i="6"/>
  <c r="A59" i="6"/>
  <c r="A60" i="6"/>
  <c r="A13" i="6"/>
  <c r="A12" i="6"/>
  <c r="A3" i="6"/>
  <c r="A4" i="6"/>
  <c r="A5" i="6"/>
  <c r="A6" i="6"/>
  <c r="A7" i="6"/>
  <c r="A8" i="6"/>
  <c r="A9" i="6"/>
  <c r="A10" i="6"/>
  <c r="A30" i="6"/>
  <c r="A31" i="6"/>
  <c r="A32" i="6"/>
  <c r="A33" i="6"/>
  <c r="A34" i="6"/>
  <c r="A35" i="6"/>
  <c r="A36" i="6"/>
  <c r="A37" i="6"/>
  <c r="A38" i="6"/>
  <c r="A2" i="6"/>
  <c r="A23" i="6"/>
  <c r="A57" i="6"/>
  <c r="A58" i="6"/>
  <c r="A62" i="6"/>
  <c r="A63" i="6"/>
  <c r="A64" i="6"/>
  <c r="A65" i="6"/>
  <c r="A66" i="6"/>
  <c r="A67" i="6"/>
  <c r="A68" i="6"/>
  <c r="A69" i="6"/>
  <c r="A70" i="6"/>
  <c r="A71" i="6"/>
  <c r="A72" i="6"/>
  <c r="A16" i="6" l="1"/>
  <c r="A15" i="6"/>
  <c r="A14" i="6"/>
  <c r="A19" i="6"/>
  <c r="A18" i="6"/>
  <c r="A17" i="6"/>
  <c r="A22" i="6"/>
  <c r="A21" i="6"/>
  <c r="A20" i="6"/>
  <c r="A26" i="6"/>
  <c r="A25" i="6"/>
  <c r="A24" i="6"/>
  <c r="A29" i="6"/>
  <c r="A28" i="6"/>
  <c r="A2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tc={3E35C8D6-57B9-9640-850E-F1BB3939BE2D}</author>
  </authors>
  <commentList>
    <comment ref="G14" authorId="0" shapeId="0" xr:uid="{3E35C8D6-57B9-9640-850E-F1BB3939BE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[Tâches]
Une tâche ancrée à ce commentaire ne peut pas être affichée dans votre client.
Commentaire :
    @Alexandre Ducrocq mettre des valeurs cohérentes avec les données cibles.
Si pas possible directement, tu peux mettre une description de ce que tu veux à côté et je le traduirai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tc={16523505-8BD2-4C58-A936-4ED79938D1A3}</author>
  </authors>
  <commentList>
    <comment ref="G24" authorId="0" shapeId="0" xr:uid="{16523505-8BD2-4C58-A936-4ED79938D1A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[Tâches]
Une tâche ancrée à ce commentaire ne peut pas être affichée dans votre client.
Commentaire :
    @Alexandre Ducrocq mettre des valeurs cohérentes avec les données cibles.
Si pas possible directement, tu peux mettre une description de ce que tu veux à côté et je le traduirai</t>
      </text>
    </comment>
  </commentList>
</comments>
</file>

<file path=xl/sharedStrings.xml><?xml version="1.0" encoding="utf-8"?>
<sst xmlns="http://schemas.openxmlformats.org/spreadsheetml/2006/main" count="1974" uniqueCount="654">
  <si>
    <t>Label</t>
  </si>
  <si>
    <t>Id</t>
  </si>
  <si>
    <t>Icon</t>
  </si>
  <si>
    <t>Order</t>
  </si>
  <si>
    <t>Pricing</t>
  </si>
  <si>
    <t>LocalOffer</t>
  </si>
  <si>
    <t>Web</t>
  </si>
  <si>
    <t>Language</t>
  </si>
  <si>
    <t>Tour de Contrôle</t>
  </si>
  <si>
    <t>tourdecontrole</t>
  </si>
  <si>
    <t>CellTower</t>
  </si>
  <si>
    <t>Marketplace</t>
  </si>
  <si>
    <t>Storefront</t>
  </si>
  <si>
    <t>Magasins</t>
  </si>
  <si>
    <t>Store</t>
  </si>
  <si>
    <t/>
  </si>
  <si>
    <t>Zone</t>
  </si>
  <si>
    <t>Magasin unitaire</t>
  </si>
  <si>
    <t>magasins</t>
  </si>
  <si>
    <t>Variation des ventes</t>
  </si>
  <si>
    <t>TrendingUp</t>
  </si>
  <si>
    <t>web</t>
  </si>
  <si>
    <t>Recherche produit</t>
  </si>
  <si>
    <t>TravelExplore</t>
  </si>
  <si>
    <t>Panier</t>
  </si>
  <si>
    <t>echec-checkout</t>
  </si>
  <si>
    <t>RemoveShoppingCart</t>
  </si>
  <si>
    <t>Suivi applications des OP</t>
  </si>
  <si>
    <t>pricing</t>
  </si>
  <si>
    <t>Suivi des changements de prix</t>
  </si>
  <si>
    <t>PriceCheck</t>
  </si>
  <si>
    <t>Volumétrie de prix vers caisses</t>
  </si>
  <si>
    <t>volumetrie-de-prix-vers-caisses</t>
  </si>
  <si>
    <t>ShoppingCart</t>
  </si>
  <si>
    <t>Siège</t>
  </si>
  <si>
    <t>general</t>
  </si>
  <si>
    <t>Dashboard</t>
  </si>
  <si>
    <t>Suivi des indicateurs pricing</t>
  </si>
  <si>
    <t>PriceChange</t>
  </si>
  <si>
    <t>Domain</t>
  </si>
  <si>
    <t>Suivi des indicateurs web</t>
  </si>
  <si>
    <t>Template</t>
  </si>
  <si>
    <t>Category</t>
  </si>
  <si>
    <t>Discovery Template Id</t>
  </si>
  <si>
    <t>File</t>
  </si>
  <si>
    <t>Discovery Rule Id</t>
  </si>
  <si>
    <t>CSV Column</t>
  </si>
  <si>
    <t>magasin-unitaire</t>
  </si>
  <si>
    <t>{#SITE_NAME}</t>
  </si>
  <si>
    <t>Castorama</t>
  </si>
  <si>
    <t>magasins-{#SITE_ID}-castorama</t>
  </si>
  <si>
    <t>{#SITE_ID}</t>
  </si>
  <si>
    <t>csv-magasins-list</t>
  </si>
  <si>
    <t>/sftp/upload/list_magasins.csv</t>
  </si>
  <si>
    <t>magasins-discovery</t>
  </si>
  <si>
    <t>SITE_ID;SITE_NAME</t>
  </si>
  <si>
    <t>suivi-des-indicateurs-pricing</t>
  </si>
  <si>
    <t>pricing-{#SITE_ID}-suivi-des-indicateurs-pricing</t>
  </si>
  <si>
    <t>csv-pricing-magasin-caisses;csv-pricing-magasin-etiquettes-electronique;csv-pricing-magasin-etiquettes-papier;csv-pricing-magasin-vue-web</t>
  </si>
  <si>
    <t>pricing-magasins-{#SITE_ID}-castorama</t>
  </si>
  <si>
    <t>variation-des-ventes</t>
  </si>
  <si>
    <t>suivi-des-indicateurs-web</t>
  </si>
  <si>
    <t>recherche-produit</t>
  </si>
  <si>
    <t>suivi-applications-des-op</t>
  </si>
  <si>
    <t>suivi-des-changements-de-prix</t>
  </si>
  <si>
    <t>Key</t>
  </si>
  <si>
    <t>Type</t>
  </si>
  <si>
    <t>Formula</t>
  </si>
  <si>
    <t>Preprocessing</t>
  </si>
  <si>
    <t>Donnée</t>
  </si>
  <si>
    <t>Fichier</t>
  </si>
  <si>
    <t>Avancement POC</t>
  </si>
  <si>
    <t>magasins-unitaire-pricing-caisse</t>
  </si>
  <si>
    <t>Caisse</t>
  </si>
  <si>
    <t>calculated</t>
  </si>
  <si>
    <t>avg(last_foreach(/*/caisses.article.wrong.count?[(tag="site_id:{$SITE_ID}")]))</t>
  </si>
  <si>
    <t>compte unique de article number pour chaque magasin (ou vide ou CF01)</t>
  </si>
  <si>
    <t>CAFR_SEAMLESS_PRICE_RECON</t>
  </si>
  <si>
    <t>magasins-unitaire-pricing-etiquettes-electroniques</t>
  </si>
  <si>
    <t>Etiquettes Electroniques</t>
  </si>
  <si>
    <t>avg(last_foreach(/*/etiquettes-electronique.article.wrong.count?[(tag="site_id:{$SITE_ID}")]))</t>
  </si>
  <si>
    <t>CAFR_PRICER_PRICE_RECON</t>
  </si>
  <si>
    <t>magasins-unitaire-pricing-etiquettes-papier</t>
  </si>
  <si>
    <t>Etiquettes Papier</t>
  </si>
  <si>
    <t>avg(last_foreach(/*/etiquettes-papier.article.wrong.count?[(tag="site_id:{$SITE_ID}")]))</t>
  </si>
  <si>
    <t>CAFR_RES_PRICE_RECON</t>
  </si>
  <si>
    <t>magasins-unitaire-pricing-vue-web-magasin</t>
  </si>
  <si>
    <t>Vue Web Magasin</t>
  </si>
  <si>
    <t>avg(last_foreach(/*/vue-web-magasin.article.wrong.count?[(tag="site_id:{$SITE_ID}")]))</t>
  </si>
  <si>
    <t>CF01_ATG_PRICE_RECON</t>
  </si>
  <si>
    <t>magasins-unitaire-pricing-appli-commande-magasin</t>
  </si>
  <si>
    <t>Appli commande magasin</t>
  </si>
  <si>
    <t>disabled</t>
  </si>
  <si>
    <t>return Math.floor(Math.random() * 10);</t>
  </si>
  <si>
    <t>Pas encore de fichier</t>
  </si>
  <si>
    <t>variation-des-ventes-global</t>
  </si>
  <si>
    <t>Global</t>
  </si>
  <si>
    <t>script</t>
  </si>
  <si>
    <t>return Math.round(100 * (Math.random() - 0.5));</t>
  </si>
  <si>
    <t>Pas pour le moment car fichier inutilisable</t>
  </si>
  <si>
    <t>kpi-suivi-application-des-op-mise-a-jour-SAP</t>
  </si>
  <si>
    <t>Mise à jour SAP</t>
  </si>
  <si>
    <t>return Math.floor(Math.random() * 60);</t>
  </si>
  <si>
    <t>Pas pour le POC</t>
  </si>
  <si>
    <t>kpi-suivi-application-des-op-caisse</t>
  </si>
  <si>
    <t>concat("{\"magasin\":",last(/pricing-general-suivi-des-indicateurs-pricing/caisses.magasin.wrong.count.op),",\"produit\":",last(/pricing-general-suivi-des-indicateurs-pricing/caisses.article-by-store.wrong.count.op),"}")</t>
  </si>
  <si>
    <t>var jsonValue = JSON.parse(value);
if (jsonValue.produit &gt; 9) {
    return "fatal";
} else if (jsonValue.magasin &gt; 9) {
    return "critical";
} else if (jsonValue.magasin &gt; 0) {
    return "warning";
} else {
    return "ok";
}</t>
  </si>
  <si>
    <t>Regarder pour faire le calcul dans l'item et non le trigger</t>
  </si>
  <si>
    <t>kpi-suivi-application-des-op-etiquettes-electroniques</t>
  </si>
  <si>
    <t>concat("{\"magasin\":",last(/pricing-general-suivi-des-indicateurs-pricing/etiquettes-electronique.magasin.wrong.count.op),",\"produit\":",last(/pricing-general-suivi-des-indicateurs-pricing/etiquettes-electronique.article-by-store.wrong.count.op),"}")</t>
  </si>
  <si>
    <t>kpi-suivi-application-des-op-etiquettes-papier</t>
  </si>
  <si>
    <t>concat("{\"magasin\":",last(/pricing-general-suivi-des-indicateurs-pricing/etiquettes-papier.magasin.wrong.count.op),",\"produit\":",last(/pricing-general-suivi-des-indicateurs-pricing/etiquettes-papier.article-by-store.wrong.count.op),"}")</t>
  </si>
  <si>
    <t>kpi-suivi-application-des-op-vue-web-magasin</t>
  </si>
  <si>
    <t>concat("{\"magasin\":",last(/pricing-general-suivi-des-indicateurs-pricing/vue-web.magasin.wrong.count.op),",\"produit\":",last(/pricing-general-suivi-des-indicateurs-pricing/vue-web.article-by-store.wrong.count.op),"}")</t>
  </si>
  <si>
    <t>kpi-suivi-application-des-op-appli-commande-magasin</t>
  </si>
  <si>
    <t>return 0;</t>
  </si>
  <si>
    <t>kpi-suivi-des-changements-de-prix-mise-a-jour-SAP</t>
  </si>
  <si>
    <t>kpi-suivi-des-changements-de-prix-caisse</t>
  </si>
  <si>
    <t>concat("{\"magasin\":",last(/pricing-general-suivi-des-indicateurs-pricing/caisses.magasin.wrong.count.not-op),",\"produit\":",last(/pricing-general-suivi-des-indicateurs-pricing/caisses.article-by-store.wrong.count.not-op),"}")</t>
  </si>
  <si>
    <t>kpi-suivi-des-changements-de-prix-etiquettes-electroniques</t>
  </si>
  <si>
    <t>concat("{\"magasin\":",last(/pricing-general-suivi-des-indicateurs-pricing/etiquettes-electronique.magasin.wrong.count.not-op),",\"produit\":",last(/pricing-general-suivi-des-indicateurs-pricing/etiquettes-electronique.article-by-store.wrong.count.not-op),"}")</t>
  </si>
  <si>
    <t>kpi-suivi-des-changements-de-prix-etiquettes-papier</t>
  </si>
  <si>
    <t>concat("{\"magasin\":",last(/pricing-general-suivi-des-indicateurs-pricing/etiquettes-papier.magasin.wrong.count.not-op),",\"produit\":",last(/pricing-general-suivi-des-indicateurs-pricing/etiquettes-papier.article-by-store.wrong.count.not-op),"}")</t>
  </si>
  <si>
    <t>kpi-suivi-des-changements-de-prix-vue-web-magasin</t>
  </si>
  <si>
    <t>concat("{\"magasin\":",last(/pricing-general-suivi-des-indicateurs-pricing/vue-web.magasin.wrong.count.not-op),",\"produit\":",last(/pricing-general-suivi-des-indicateurs-pricing/vue-web.article-by-store.wrong.count.not-op),"}")</t>
  </si>
  <si>
    <t>kpi-suivi-des-changements-de-prix-appli-commande-magasin</t>
  </si>
  <si>
    <t>return "ok";</t>
  </si>
  <si>
    <t>recherche-produit-global</t>
  </si>
  <si>
    <t>return Math.floor(Math.random() * 15) ;</t>
  </si>
  <si>
    <t>echec-checkout-global</t>
  </si>
  <si>
    <t>volumetrie-de-prix-vers-caisses-castorama</t>
  </si>
  <si>
    <t>last(/general-volumetrie-prix-caisses/volumetrie-prix-caisses)</t>
  </si>
  <si>
    <t>Feuille DAY_ALL -&gt; I9 -&gt; Récupérer valeur numéraire (format américain)</t>
  </si>
  <si>
    <t>Casto FR Price Estimate Report</t>
  </si>
  <si>
    <t>texte</t>
  </si>
  <si>
    <t>statut</t>
  </si>
  <si>
    <t>valeur</t>
  </si>
  <si>
    <t>condition</t>
  </si>
  <si>
    <t>localisation</t>
  </si>
  <si>
    <t>zones importantes</t>
  </si>
  <si>
    <t>{ITEM.LASTVALUE} prix différent(s) au niveau des caisses</t>
  </si>
  <si>
    <t>WARNING</t>
  </si>
  <si>
    <t>magasins.unitaire.pricing.caisse&gt;0;magasins.unitaire.pricing.caisse&lt;10;</t>
  </si>
  <si>
    <t xml:space="preserve">si au moins un prix est different </t>
  </si>
  <si>
    <t>embarquement</t>
  </si>
  <si>
    <t>{ITEM.LASTVALUE} prix différents au niveau des caisses</t>
  </si>
  <si>
    <t>CRITICAL</t>
  </si>
  <si>
    <t>magasins.unitaire.pricing.caisse&gt;9;</t>
  </si>
  <si>
    <t>si 10 prix sont differents</t>
  </si>
  <si>
    <t>FATAL</t>
  </si>
  <si>
    <t>PAF</t>
  </si>
  <si>
    <t>{ITEM.LASTVALUE} prix différent(s) au niveau des étiquettes électroniques</t>
  </si>
  <si>
    <t>magasins.unitaire.pricing.etiquettes.electroniques&gt;0</t>
  </si>
  <si>
    <t>{ITEM.LASTVALUE} prix différent(s) au niveau des étiquettes papier</t>
  </si>
  <si>
    <t>magasins.unitaire.pricing.etiquettes.papier&gt;0</t>
  </si>
  <si>
    <t>{ITEM.LASTVALUE} prix différent(s) au niveau de la vue web magasin</t>
  </si>
  <si>
    <t>magasins.unitaire.pricing.vue.web.magasin&gt;0;magasins.unitaire.pricing.vue.web.magasin&lt;10;</t>
  </si>
  <si>
    <t>{ITEM.LASTVALUE} prix différents pour 1 magasin au niveau de la vue web magasin</t>
  </si>
  <si>
    <t>magasins.unitaire.pricing.vue.web.magasin&gt;9</t>
  </si>
  <si>
    <t>{ITEM.LASTVALUE} prix différent(s) au niveau de  l'appli commande magasin</t>
  </si>
  <si>
    <t>magasins.unitaire.pricing.appli.commande.magasin&gt;0</t>
  </si>
  <si>
    <t>Volume de commande anormal ({ITEM.LASTVALUE}%)</t>
  </si>
  <si>
    <t>variation.des.ventes.global&gt;14;variation.des.ventes.global&lt;30</t>
  </si>
  <si>
    <t>si &gt;15% et &lt;30% d'ecart</t>
  </si>
  <si>
    <t>variation.des.ventes.global&gt;29;variation.des.ventes.global&lt;50</t>
  </si>
  <si>
    <t>si &gt;30%  &lt;50%d'ecart</t>
  </si>
  <si>
    <t>{ITEM.LASTVALUE} prix différent(s) dans ce qui a été saisi sous SAP</t>
  </si>
  <si>
    <t>kpi.suivi.application.des.op.mise.a.jour.SAP&gt;0;kpi.suivi.application.des.op.mise.a.jour.SAP&lt;10</t>
  </si>
  <si>
    <t>si au moins un prix est different</t>
  </si>
  <si>
    <t>{ITEM.LASTVALUE} prix différents dans ce qui a été saisi sous SAP</t>
  </si>
  <si>
    <t>kpi.suivi.application.des.op.mise.a.jour.SAP&gt;9</t>
  </si>
  <si>
    <t>Au moins un prix est différent au niveau des caisses</t>
  </si>
  <si>
    <t>kpi.suivi.application.des.op.caisse="warning"</t>
  </si>
  <si>
    <t>si au moins un prix est different pour un magasin</t>
  </si>
  <si>
    <t>10 prix sont différents au niveau des caisses</t>
  </si>
  <si>
    <t>kpi.suivi.application.des.op.caisse="fatal"</t>
  </si>
  <si>
    <t>si 10 prix sont differents pour un magasin</t>
  </si>
  <si>
    <t>Au moins un prix est différent au niveau des étiquettes électroniques</t>
  </si>
  <si>
    <t>kpi.suivi.application.des.op.etiquettes.electroniques="warning"</t>
  </si>
  <si>
    <t>1 prix est différent pour 10 magasins au niveau des étiquettes électroniques</t>
  </si>
  <si>
    <t>kpi.suivi.application.des.op.etiquettes.electroniques="critical"</t>
  </si>
  <si>
    <t>si un prix est different pour au moins 10 magasins</t>
  </si>
  <si>
    <t>Au moins un prix est différent au niveau des étiquettes papier</t>
  </si>
  <si>
    <t>kpi.suivi.application.des.op.etiquettes.papier="warning"</t>
  </si>
  <si>
    <t>1 prix est différent pour 10 magasins au niveau des étiquettes papier</t>
  </si>
  <si>
    <t>kpi.suivi.application.des.op.etiquettes.papier="critical"</t>
  </si>
  <si>
    <t>Au moins un prix est différent au niveau de la vue web magasin</t>
  </si>
  <si>
    <t>kpi.suivi.application.des.op.vue.web.magasin="warning"</t>
  </si>
  <si>
    <t>10 prix sont différents pour 1 magasin au niveau de la vue web magasin</t>
  </si>
  <si>
    <t>kpi.suivi.application.des.op.vue.web.magasin="fatal"</t>
  </si>
  <si>
    <t>Au moins un prix est différent au niveau de  l'appli commande magasin</t>
  </si>
  <si>
    <t>kpi.suivi.application.des.op.appli.commande.magasin="warning"</t>
  </si>
  <si>
    <t>1 prix est différent pour 10 magasins au niveau de  l'appli commande magasin</t>
  </si>
  <si>
    <t>kpi.suivi.application.des.op.appli.commande.magasin="critical"</t>
  </si>
  <si>
    <t>kpi.suivi.des.changements.de.prix.mise.a.jour.SAP&gt;0;kpi.suivi.des.changements.de.prix.mise.a.jour.SAP&lt;10</t>
  </si>
  <si>
    <t>kpi.suivi.des.changements.de.prix.mise.a.jour.SAP&gt;9</t>
  </si>
  <si>
    <t>kpi.suivi.des.changements.de.prix.caisse="warning"</t>
  </si>
  <si>
    <t>kpi.suivi.des.changements.de.prix.caisse="fatal"</t>
  </si>
  <si>
    <t>kpi.suivi.des.changements.de.prix.etiquettes.electroniques="warning"</t>
  </si>
  <si>
    <t>kpi.suivi.des.changements.de.prix.etiquettes.electroniques="critical"</t>
  </si>
  <si>
    <t>kpi.suivi.des.changements.de.prix.etiquettes.papier="critical"</t>
  </si>
  <si>
    <t>kpi.suivi.des.changements.de.prix.vue.web.magasin="fatal"</t>
  </si>
  <si>
    <t>kpi.suivi.des.changements.de.prix.appli.commande.magasin="warning"</t>
  </si>
  <si>
    <t>kpi.suivi.des.changements.de.prix.appli.commande.magasin="critical"</t>
  </si>
  <si>
    <t>Anomalie sur le moteur de recherche</t>
  </si>
  <si>
    <t>recherche.produit.global&gt;9;recherche.produit.global.percentile&lt;100</t>
  </si>
  <si>
    <t>si dans l'heure j'ai 10 echec de recherche de produit</t>
  </si>
  <si>
    <t>Moteur de recherche non fonctionnel</t>
  </si>
  <si>
    <t>recherche.produit.global&gt;1;recherche.produit.global.percentile&gt;99</t>
  </si>
  <si>
    <t>si dans l'heure j'ai 100% echec de recherche de produit</t>
  </si>
  <si>
    <t>Anomalie sur le checkout</t>
  </si>
  <si>
    <t>echec.checkout.global&gt;9;echec.checkout.global.percentile&lt;100</t>
  </si>
  <si>
    <t>si dans l'heure j'ai 10 echec de checkout</t>
  </si>
  <si>
    <t>Checkout non fonctionnel</t>
  </si>
  <si>
    <t>echec.checkout.global&gt;1;echec.checkout.global.percentile&gt;99</t>
  </si>
  <si>
    <t>si dans l'heure j'ai 100% echec de checkout</t>
  </si>
  <si>
    <t>Risque sur le chargement des prix ({ITEM.LASTVALUE})</t>
  </si>
  <si>
    <t>volumetrie.de.prix.vers.caisses.castorama&gt;9999;volumetrie.de.prix.vers.caisses.castorama&lt;30000</t>
  </si>
  <si>
    <t>si la taille de donnees envoyee est entre 10K et 30K</t>
  </si>
  <si>
    <t>Risque depasse sur le chargement des prix ({ITEM.LASTVALUE})</t>
  </si>
  <si>
    <t>volumetrie.de.prix.vers.caisses.castorama&gt;29999</t>
  </si>
  <si>
    <t>si la taille de donnees envoyee est supérieure à 30K</t>
  </si>
  <si>
    <t>type</t>
  </si>
  <si>
    <t>Id (item)</t>
  </si>
  <si>
    <t>nom de l'indicateur (label)</t>
  </si>
  <si>
    <t>lieu d'incidence</t>
  </si>
  <si>
    <t>localisation (host)</t>
  </si>
  <si>
    <t>valeur de l'indicateur</t>
  </si>
  <si>
    <t>message d'alerte</t>
  </si>
  <si>
    <t>SEC-DISPO-SIDES</t>
  </si>
  <si>
    <t>moins de 2 camions disponibles</t>
  </si>
  <si>
    <t>SEC-DISPO-ZODIAC</t>
  </si>
  <si>
    <t>un jetski HS</t>
  </si>
  <si>
    <t>SEC-STATUS-ISSUES</t>
  </si>
  <si>
    <t>une porte IS HS par zone de sécurité</t>
  </si>
  <si>
    <t>SEC-STATUS-TOURCONTROLE</t>
  </si>
  <si>
    <t>ligne téléphonique SSLIA indisponible</t>
  </si>
  <si>
    <t>SEC-STATUS-COMINTERNE</t>
  </si>
  <si>
    <t>ligne téléphonique indisponible</t>
  </si>
  <si>
    <t>SEC-DISPO-STOCK</t>
  </si>
  <si>
    <t>inférieur à 80%</t>
  </si>
  <si>
    <t>SEC-DISPO-VEHICULE</t>
  </si>
  <si>
    <t>un véhicule immobilisé</t>
  </si>
  <si>
    <t>SEC-DISPO-RESERVEDEAU</t>
  </si>
  <si>
    <t>niveau &lt;80%</t>
  </si>
  <si>
    <t>SEC-DISPO-BOUCHEINCENDIE</t>
  </si>
  <si>
    <t>une bouche à incendie HS</t>
  </si>
  <si>
    <t>BAGA-STATUS-CONTRLBAGSOUTE</t>
  </si>
  <si>
    <t>Arrival</t>
  </si>
  <si>
    <t>une ligne HS</t>
  </si>
  <si>
    <t>Departure</t>
  </si>
  <si>
    <t>technique-bagages-départ</t>
  </si>
  <si>
    <t>Correspondence</t>
  </si>
  <si>
    <t>technique-bagages-correspondance</t>
  </si>
  <si>
    <t>BAGA-STATUS-BLOCAGE</t>
  </si>
  <si>
    <t>1 heure de blocage</t>
  </si>
  <si>
    <t>20 minutes de blocage</t>
  </si>
  <si>
    <t>pas de blocage</t>
  </si>
  <si>
    <t>BAGA-STATUS-TOMO</t>
  </si>
  <si>
    <t>technique-bagages-arrivée</t>
  </si>
  <si>
    <t>EDS 1 ou 3 en défaut</t>
  </si>
  <si>
    <t>BAGA-STATUS-BARCODE</t>
  </si>
  <si>
    <t>Au moins un lecteur HS</t>
  </si>
  <si>
    <t>ENRE-DISPO-BLS</t>
  </si>
  <si>
    <t>75% des bornes sont disponibles sur la totalité</t>
  </si>
  <si>
    <t>CLIM-TEMP-ZONECRITIQUE</t>
  </si>
  <si>
    <t>technique-clim-eau-cvc-arrivée</t>
  </si>
  <si>
    <t>température de 28°C</t>
  </si>
  <si>
    <t>technique-clim-eau-cvc-correspondance</t>
  </si>
  <si>
    <t>CLIM-HUMID-ZONECRITIQUE</t>
  </si>
  <si>
    <t>Niveau supérieur à 70 %</t>
  </si>
  <si>
    <t>technique-clim-eau-cvc-départ</t>
  </si>
  <si>
    <t>CLIM-PROD-EAU</t>
  </si>
  <si>
    <t>1 Groupe HS</t>
  </si>
  <si>
    <t>CLIM-DISTRIB-EAU</t>
  </si>
  <si>
    <t xml:space="preserve">Au moins une pompe de distribution en défaut par niveau </t>
  </si>
  <si>
    <t>CLIM-STATUS-CTA</t>
  </si>
  <si>
    <t>Température ou pression soufflage = NOK</t>
  </si>
  <si>
    <t>CLIM-STATUS-PLOMBERIE</t>
  </si>
  <si>
    <t>1 bar&lt;xx&lt; 2bar</t>
  </si>
  <si>
    <t>CLIM-STATUS-VENTELLE-NAO</t>
  </si>
  <si>
    <t>non fonctionnelle en auto</t>
  </si>
  <si>
    <t>CLIM-STATUS-PUISDEP</t>
  </si>
  <si>
    <t>Pluie et puits ouvert</t>
  </si>
  <si>
    <t>CLIM-STATUS-STATIONMETEO</t>
  </si>
  <si>
    <t>Détection pluie sur 30 minutes</t>
  </si>
  <si>
    <t>CLIM-STATUS-DATAC-TEMP</t>
  </si>
  <si>
    <t>Niveau supérieur à 26°C</t>
  </si>
  <si>
    <t>CLIM-STATUS-DATAC-HYGRO</t>
  </si>
  <si>
    <t>BAGA-STATUS-TAPIS</t>
  </si>
  <si>
    <t>1 tapis HS</t>
  </si>
  <si>
    <t>exploitation-bagages-départ</t>
  </si>
  <si>
    <t>exploitation-bagages-correspondance</t>
  </si>
  <si>
    <t>BAGA-NB-CONVOYEURS</t>
  </si>
  <si>
    <t>exploitation-bagages-arrivée</t>
  </si>
  <si>
    <t>1 des 2 convoyeurs INOP</t>
  </si>
  <si>
    <t>BAGA-LATE-DELIVERY</t>
  </si>
  <si>
    <t>ETD-30mn, bagages encore dans le système de convoyage</t>
  </si>
  <si>
    <t>BAGA-LATE-LASTBAG</t>
  </si>
  <si>
    <t>dernier bagage pas arrivé au bout de 30/50 min</t>
  </si>
  <si>
    <t>BAGA-LATE-FIRSTBAG</t>
  </si>
  <si>
    <t>premier bagage au bout de 12 min</t>
  </si>
  <si>
    <t>BAGA-DISPO-ECRAN-CARROUSEL</t>
  </si>
  <si>
    <t>un écran ne fonctionne pas</t>
  </si>
  <si>
    <t>ENRE-STATUS-COMPTOIR</t>
  </si>
  <si>
    <t>exploitation-enregistrements-départ</t>
  </si>
  <si>
    <t>1 comptoir sur une même zone est HS</t>
  </si>
  <si>
    <t>ENRE-STATUS-EMBROSS</t>
  </si>
  <si>
    <t>entre 10 et 15 BLS sont HS</t>
  </si>
  <si>
    <t>CLIM-DISPO-EAU</t>
  </si>
  <si>
    <t>Coupure d'eau au niveau des fontaines à eau</t>
  </si>
  <si>
    <t>STERELA</t>
  </si>
  <si>
    <t>application indisponible</t>
  </si>
  <si>
    <t>AQUILA</t>
  </si>
  <si>
    <t>VisioDEF-3D</t>
  </si>
  <si>
    <t>Pcvue</t>
  </si>
  <si>
    <t>SUIVI-CARROUSSEL-TAPIS-BAGAGES</t>
  </si>
  <si>
    <t>FirstBag-LastBag</t>
  </si>
  <si>
    <t>CREWS-CUPPS</t>
  </si>
  <si>
    <t>si-enregistrements-départ</t>
  </si>
  <si>
    <t>VISTA</t>
  </si>
  <si>
    <t>INFOPAX</t>
  </si>
  <si>
    <t>PAXTRACK</t>
  </si>
  <si>
    <t>FAIRWAY</t>
  </si>
  <si>
    <t>ENGLOS 2</t>
  </si>
  <si>
    <t>castorama</t>
  </si>
  <si>
    <t>magasins-1477-castorama</t>
  </si>
  <si>
    <t>pricing-1477-suivi-des-indicateurs-pricing</t>
  </si>
  <si>
    <t>BARENTIN 2</t>
  </si>
  <si>
    <t>magasins-1488-castorama</t>
  </si>
  <si>
    <t>BONDUES</t>
  </si>
  <si>
    <t>magasins-1410-castorama</t>
  </si>
  <si>
    <t>CAEN FLEURY</t>
  </si>
  <si>
    <t>magasins-1509-castorama</t>
  </si>
  <si>
    <t>CAEN HEROUVILLE</t>
  </si>
  <si>
    <t>magasins-1438-castorama</t>
  </si>
  <si>
    <t>CREIL2  ST MAXIMIN</t>
  </si>
  <si>
    <t>magasins-1507-castorama</t>
  </si>
  <si>
    <t>DUNKERQUE</t>
  </si>
  <si>
    <t>magasins-1461-castorama</t>
  </si>
  <si>
    <t>HENIN</t>
  </si>
  <si>
    <t>magasins-1448-castorama</t>
  </si>
  <si>
    <t>LE HAVRE</t>
  </si>
  <si>
    <t>magasins-1489-castorama</t>
  </si>
  <si>
    <t>REIMS THILLOIS</t>
  </si>
  <si>
    <t>magasins-1500-castorama</t>
  </si>
  <si>
    <t>BESANCON</t>
  </si>
  <si>
    <t>magasins-1467-castorama</t>
  </si>
  <si>
    <t>CHALON SAONE</t>
  </si>
  <si>
    <t>magasins-1470-castorama</t>
  </si>
  <si>
    <t>COLMAR</t>
  </si>
  <si>
    <t>magasins-1443-castorama</t>
  </si>
  <si>
    <t>DIJON 2</t>
  </si>
  <si>
    <t>magasins-1510-castorama</t>
  </si>
  <si>
    <t>KINGERSHEIM 2</t>
  </si>
  <si>
    <t>magasins-1478-castorama</t>
  </si>
  <si>
    <t>METZ 2</t>
  </si>
  <si>
    <t>magasins-1502-castorama</t>
  </si>
  <si>
    <t>STRASBOURG</t>
  </si>
  <si>
    <t>magasins-1418-castorama</t>
  </si>
  <si>
    <t>TERVILLE</t>
  </si>
  <si>
    <t>magasins-1463-castorama</t>
  </si>
  <si>
    <t>VANDOEUVRE</t>
  </si>
  <si>
    <t>magasins-1431-castorama</t>
  </si>
  <si>
    <t>ANNECY</t>
  </si>
  <si>
    <t>magasins-1465-castorama</t>
  </si>
  <si>
    <t>BOURG EN BRESSE</t>
  </si>
  <si>
    <t>magasins-1468-castorama</t>
  </si>
  <si>
    <t>BOURGOIN JALLIEU</t>
  </si>
  <si>
    <t>magasins-1454-castorama</t>
  </si>
  <si>
    <t>BRON</t>
  </si>
  <si>
    <t>magasins-1437-castorama</t>
  </si>
  <si>
    <t>CHAMBERY</t>
  </si>
  <si>
    <t>magasins-1469-castorama</t>
  </si>
  <si>
    <t>CLERMONT FERRAND</t>
  </si>
  <si>
    <t>magasins-1436-castorama</t>
  </si>
  <si>
    <t>DARDILLY</t>
  </si>
  <si>
    <t>magasins-1424-castorama</t>
  </si>
  <si>
    <t>GIVORS</t>
  </si>
  <si>
    <t>magasins-1414-castorama</t>
  </si>
  <si>
    <t>GRENOBLE</t>
  </si>
  <si>
    <t>magasins-1466-castorama</t>
  </si>
  <si>
    <t>RILLIEUX</t>
  </si>
  <si>
    <t>magasins-1427-castorama</t>
  </si>
  <si>
    <t>ROANNE</t>
  </si>
  <si>
    <t>magasins-1425-castorama</t>
  </si>
  <si>
    <t>VALENCE 3</t>
  </si>
  <si>
    <t>magasins-1483-castorama</t>
  </si>
  <si>
    <t>AIX LES MILLES</t>
  </si>
  <si>
    <t>magasins-1441-castorama</t>
  </si>
  <si>
    <t>ANTIBES</t>
  </si>
  <si>
    <t>magasins-1429-castorama</t>
  </si>
  <si>
    <t>AVIGNON 2</t>
  </si>
  <si>
    <t>magasins-1504-castorama</t>
  </si>
  <si>
    <t>FREJUS</t>
  </si>
  <si>
    <t>magasins-1484-castorama</t>
  </si>
  <si>
    <t>LA SEYNE</t>
  </si>
  <si>
    <t>magasins-1447-castorama</t>
  </si>
  <si>
    <t>LE CANNET</t>
  </si>
  <si>
    <t>magasins-1444-castorama</t>
  </si>
  <si>
    <t>MANDELIEU</t>
  </si>
  <si>
    <t>magasins-1434-castorama</t>
  </si>
  <si>
    <t>MARSEILLE</t>
  </si>
  <si>
    <t>magasins-1511-castorama</t>
  </si>
  <si>
    <t>PLAN CAMPAGNE</t>
  </si>
  <si>
    <t>magasins-1433-castorama</t>
  </si>
  <si>
    <t>TOULON LA GARDE</t>
  </si>
  <si>
    <t>magasins-1474-castorama</t>
  </si>
  <si>
    <t>VITROLLES</t>
  </si>
  <si>
    <t>magasins-1445-castorama</t>
  </si>
  <si>
    <t>AGEN</t>
  </si>
  <si>
    <t>magasins-1415-castorama</t>
  </si>
  <si>
    <t>BEZIERS2</t>
  </si>
  <si>
    <t>magasins-1450-castorama</t>
  </si>
  <si>
    <t>BLAGNAC</t>
  </si>
  <si>
    <t>magasins-1476-castorama</t>
  </si>
  <si>
    <t>L UNION</t>
  </si>
  <si>
    <t>magasins-1471-castorama</t>
  </si>
  <si>
    <t>MONTPELLIER (Latte)</t>
  </si>
  <si>
    <t>magasins-1419-castorama</t>
  </si>
  <si>
    <t>MONTPELLIER 2(St Clém.)</t>
  </si>
  <si>
    <t>magasins-1442-castorama</t>
  </si>
  <si>
    <t>NIMES 2</t>
  </si>
  <si>
    <t>magasins-1435-castorama</t>
  </si>
  <si>
    <t>PERPIGNAN 2</t>
  </si>
  <si>
    <t>magasins-1475-castorama</t>
  </si>
  <si>
    <t>PORTET SUR GARONNE</t>
  </si>
  <si>
    <t>magasins-1446-castorama</t>
  </si>
  <si>
    <t>ST ORENS 2</t>
  </si>
  <si>
    <t>magasins-1480-castorama</t>
  </si>
  <si>
    <t>ANGLET</t>
  </si>
  <si>
    <t>magasins-1417-castorama</t>
  </si>
  <si>
    <t>ANGOULEME 2</t>
  </si>
  <si>
    <t>magasins-1513-castorama</t>
  </si>
  <si>
    <t>LA ROCHELLE</t>
  </si>
  <si>
    <t>magasins-1459-castorama</t>
  </si>
  <si>
    <t>LIMOGES</t>
  </si>
  <si>
    <t>magasins-1430-castorama</t>
  </si>
  <si>
    <t>LORMONT</t>
  </si>
  <si>
    <t>magasins-1499-castorama</t>
  </si>
  <si>
    <t>MERIGNAC</t>
  </si>
  <si>
    <t>magasins-2537-castorama</t>
  </si>
  <si>
    <t>NIORT2</t>
  </si>
  <si>
    <t>magasins-1460-castorama</t>
  </si>
  <si>
    <t>PAU</t>
  </si>
  <si>
    <t>magasins-1512-castorama</t>
  </si>
  <si>
    <t>POITIERS 2</t>
  </si>
  <si>
    <t>magasins-1452-castorama</t>
  </si>
  <si>
    <t>VILLENAVE</t>
  </si>
  <si>
    <t>magasins-1464-castorama</t>
  </si>
  <si>
    <t>BREST 3</t>
  </si>
  <si>
    <t>magasins-1485-castorama</t>
  </si>
  <si>
    <t>CAP MALO</t>
  </si>
  <si>
    <t>magasins-1482-castorama</t>
  </si>
  <si>
    <t>LE MANS 1</t>
  </si>
  <si>
    <t>magasins-1409-castorama</t>
  </si>
  <si>
    <t>NANTES LA BEAUJOIRE</t>
  </si>
  <si>
    <t>magasins-1439-castorama</t>
  </si>
  <si>
    <t>NANTES ORVAULT</t>
  </si>
  <si>
    <t>magasins-1411-castorama</t>
  </si>
  <si>
    <t>QUIMPER 2</t>
  </si>
  <si>
    <t>magasins-1498-castorama</t>
  </si>
  <si>
    <t>RENNES ST JACQUES</t>
  </si>
  <si>
    <t>magasins-1432-castorama</t>
  </si>
  <si>
    <t>ST NAZAIRE</t>
  </si>
  <si>
    <t>magasins-1426-castorama</t>
  </si>
  <si>
    <t>TOURS</t>
  </si>
  <si>
    <t>magasins-1412-castorama</t>
  </si>
  <si>
    <t>VANNES 2</t>
  </si>
  <si>
    <t>magasins-1481-castorama</t>
  </si>
  <si>
    <t>CHAMBOURCY 2</t>
  </si>
  <si>
    <t>magasins-1508-castorama</t>
  </si>
  <si>
    <t>CLAYE SOUILLY</t>
  </si>
  <si>
    <t>magasins-1455-castorama</t>
  </si>
  <si>
    <t>CLICHY</t>
  </si>
  <si>
    <t>magasins-1486-castorama</t>
  </si>
  <si>
    <t>CORMEILLES</t>
  </si>
  <si>
    <t>magasins-1493-castorama</t>
  </si>
  <si>
    <t>GONESSE</t>
  </si>
  <si>
    <t>magasins-1420-castorama</t>
  </si>
  <si>
    <t>GRENELLE</t>
  </si>
  <si>
    <t>magasins-1506-castorama</t>
  </si>
  <si>
    <t>LES CLAYES SOUS BOIS</t>
  </si>
  <si>
    <t>magasins-1479-castorama</t>
  </si>
  <si>
    <t>NATION</t>
  </si>
  <si>
    <t>magasins-1487-castorama</t>
  </si>
  <si>
    <t>PIERRELAYE</t>
  </si>
  <si>
    <t>magasins-1501-castorama</t>
  </si>
  <si>
    <t>VILLEMOMBLE</t>
  </si>
  <si>
    <t>magasins-1422-castorama</t>
  </si>
  <si>
    <t>COIGNIERES 2</t>
  </si>
  <si>
    <t>magasins-1497-castorama</t>
  </si>
  <si>
    <t>CRETEIL</t>
  </si>
  <si>
    <t>magasins-1440-castorama</t>
  </si>
  <si>
    <t>FRESNES</t>
  </si>
  <si>
    <t>magasins-1458-castorama</t>
  </si>
  <si>
    <t>LES ULIS</t>
  </si>
  <si>
    <t>magasins-1457-castorama</t>
  </si>
  <si>
    <t>MELUN</t>
  </si>
  <si>
    <t>magasins-1423-castorama</t>
  </si>
  <si>
    <t>MONTGERON</t>
  </si>
  <si>
    <t>magasins-1413-castorama</t>
  </si>
  <si>
    <t>OLIVET</t>
  </si>
  <si>
    <t>magasins-1456-castorama</t>
  </si>
  <si>
    <t>ORMESSON</t>
  </si>
  <si>
    <t>magasins-1473-castorama</t>
  </si>
  <si>
    <t>VELIZY</t>
  </si>
  <si>
    <t>magasins-1462-castorama</t>
  </si>
  <si>
    <t>VILLABE</t>
  </si>
  <si>
    <t>magasins-1503-castorama</t>
  </si>
  <si>
    <t>pricing-1488-suivi-des-indicateurs-pricing</t>
  </si>
  <si>
    <t>pricing-1410-suivi-des-indicateurs-pricing</t>
  </si>
  <si>
    <t>pricing-1509-suivi-des-indicateurs-pricing</t>
  </si>
  <si>
    <t>pricing-1438-suivi-des-indicateurs-pricing</t>
  </si>
  <si>
    <t>pricing-1507-suivi-des-indicateurs-pricing</t>
  </si>
  <si>
    <t>pricing-1461-suivi-des-indicateurs-pricing</t>
  </si>
  <si>
    <t>pricing-1448-suivi-des-indicateurs-pricing</t>
  </si>
  <si>
    <t>pricing-1489-suivi-des-indicateurs-pricing</t>
  </si>
  <si>
    <t>pricing-1500-suivi-des-indicateurs-pricing</t>
  </si>
  <si>
    <t>pricing-1467-suivi-des-indicateurs-pricing</t>
  </si>
  <si>
    <t>pricing-1470-suivi-des-indicateurs-pricing</t>
  </si>
  <si>
    <t>pricing-1443-suivi-des-indicateurs-pricing</t>
  </si>
  <si>
    <t>pricing-1510-suivi-des-indicateurs-pricing</t>
  </si>
  <si>
    <t>pricing-1478-suivi-des-indicateurs-pricing</t>
  </si>
  <si>
    <t>pricing-1502-suivi-des-indicateurs-pricing</t>
  </si>
  <si>
    <t>pricing-1418-suivi-des-indicateurs-pricing</t>
  </si>
  <si>
    <t>pricing-1463-suivi-des-indicateurs-pricing</t>
  </si>
  <si>
    <t>pricing-1431-suivi-des-indicateurs-pricing</t>
  </si>
  <si>
    <t>pricing-1465-suivi-des-indicateurs-pricing</t>
  </si>
  <si>
    <t>pricing-1468-suivi-des-indicateurs-pricing</t>
  </si>
  <si>
    <t>pricing-1454-suivi-des-indicateurs-pricing</t>
  </si>
  <si>
    <t>pricing-1437-suivi-des-indicateurs-pricing</t>
  </si>
  <si>
    <t>pricing-1469-suivi-des-indicateurs-pricing</t>
  </si>
  <si>
    <t>pricing-1436-suivi-des-indicateurs-pricing</t>
  </si>
  <si>
    <t>pricing-1424-suivi-des-indicateurs-pricing</t>
  </si>
  <si>
    <t>pricing-1414-suivi-des-indicateurs-pricing</t>
  </si>
  <si>
    <t>pricing-1466-suivi-des-indicateurs-pricing</t>
  </si>
  <si>
    <t>pricing-1427-suivi-des-indicateurs-pricing</t>
  </si>
  <si>
    <t>pricing-1425-suivi-des-indicateurs-pricing</t>
  </si>
  <si>
    <t>pricing-1483-suivi-des-indicateurs-pricing</t>
  </si>
  <si>
    <t>pricing-1441-suivi-des-indicateurs-pricing</t>
  </si>
  <si>
    <t>pricing-1429-suivi-des-indicateurs-pricing</t>
  </si>
  <si>
    <t>pricing-1504-suivi-des-indicateurs-pricing</t>
  </si>
  <si>
    <t>pricing-1484-suivi-des-indicateurs-pricing</t>
  </si>
  <si>
    <t>pricing-1447-suivi-des-indicateurs-pricing</t>
  </si>
  <si>
    <t>pricing-1444-suivi-des-indicateurs-pricing</t>
  </si>
  <si>
    <t>pricing-1434-suivi-des-indicateurs-pricing</t>
  </si>
  <si>
    <t>pricing-1511-suivi-des-indicateurs-pricing</t>
  </si>
  <si>
    <t>pricing-1433-suivi-des-indicateurs-pricing</t>
  </si>
  <si>
    <t>pricing-1474-suivi-des-indicateurs-pricing</t>
  </si>
  <si>
    <t>pricing-1445-suivi-des-indicateurs-pricing</t>
  </si>
  <si>
    <t>pricing-1415-suivi-des-indicateurs-pricing</t>
  </si>
  <si>
    <t>pricing-1450-suivi-des-indicateurs-pricing</t>
  </si>
  <si>
    <t>pricing-1476-suivi-des-indicateurs-pricing</t>
  </si>
  <si>
    <t>pricing-1471-suivi-des-indicateurs-pricing</t>
  </si>
  <si>
    <t>pricing-1419-suivi-des-indicateurs-pricing</t>
  </si>
  <si>
    <t>pricing-1442-suivi-des-indicateurs-pricing</t>
  </si>
  <si>
    <t>pricing-1435-suivi-des-indicateurs-pricing</t>
  </si>
  <si>
    <t>pricing-1475-suivi-des-indicateurs-pricing</t>
  </si>
  <si>
    <t>pricing-1446-suivi-des-indicateurs-pricing</t>
  </si>
  <si>
    <t>pricing-1480-suivi-des-indicateurs-pricing</t>
  </si>
  <si>
    <t>pricing-1417-suivi-des-indicateurs-pricing</t>
  </si>
  <si>
    <t>pricing-1513-suivi-des-indicateurs-pricing</t>
  </si>
  <si>
    <t>pricing-1459-suivi-des-indicateurs-pricing</t>
  </si>
  <si>
    <t>pricing-1430-suivi-des-indicateurs-pricing</t>
  </si>
  <si>
    <t>pricing-1499-suivi-des-indicateurs-pricing</t>
  </si>
  <si>
    <t>pricing-2537-suivi-des-indicateurs-pricing</t>
  </si>
  <si>
    <t>pricing-1460-suivi-des-indicateurs-pricing</t>
  </si>
  <si>
    <t>pricing-1512-suivi-des-indicateurs-pricing</t>
  </si>
  <si>
    <t>pricing-1452-suivi-des-indicateurs-pricing</t>
  </si>
  <si>
    <t>pricing-1464-suivi-des-indicateurs-pricing</t>
  </si>
  <si>
    <t>pricing-1485-suivi-des-indicateurs-pricing</t>
  </si>
  <si>
    <t>pricing-1482-suivi-des-indicateurs-pricing</t>
  </si>
  <si>
    <t>pricing-1409-suivi-des-indicateurs-pricing</t>
  </si>
  <si>
    <t>pricing-1439-suivi-des-indicateurs-pricing</t>
  </si>
  <si>
    <t>pricing-1411-suivi-des-indicateurs-pricing</t>
  </si>
  <si>
    <t>pricing-1498-suivi-des-indicateurs-pricing</t>
  </si>
  <si>
    <t>pricing-1432-suivi-des-indicateurs-pricing</t>
  </si>
  <si>
    <t>pricing-1426-suivi-des-indicateurs-pricing</t>
  </si>
  <si>
    <t>pricing-1412-suivi-des-indicateurs-pricing</t>
  </si>
  <si>
    <t>pricing-1481-suivi-des-indicateurs-pricing</t>
  </si>
  <si>
    <t>pricing-1508-suivi-des-indicateurs-pricing</t>
  </si>
  <si>
    <t>pricing-1455-suivi-des-indicateurs-pricing</t>
  </si>
  <si>
    <t>pricing-1486-suivi-des-indicateurs-pricing</t>
  </si>
  <si>
    <t>pricing-1493-suivi-des-indicateurs-pricing</t>
  </si>
  <si>
    <t>pricing-1420-suivi-des-indicateurs-pricing</t>
  </si>
  <si>
    <t>pricing-1506-suivi-des-indicateurs-pricing</t>
  </si>
  <si>
    <t>pricing-1479-suivi-des-indicateurs-pricing</t>
  </si>
  <si>
    <t>pricing-1487-suivi-des-indicateurs-pricing</t>
  </si>
  <si>
    <t>pricing-1501-suivi-des-indicateurs-pricing</t>
  </si>
  <si>
    <t>pricing-1422-suivi-des-indicateurs-pricing</t>
  </si>
  <si>
    <t>pricing-1497-suivi-des-indicateurs-pricing</t>
  </si>
  <si>
    <t>pricing-1440-suivi-des-indicateurs-pricing</t>
  </si>
  <si>
    <t>pricing-1458-suivi-des-indicateurs-pricing</t>
  </si>
  <si>
    <t>pricing-1457-suivi-des-indicateurs-pricing</t>
  </si>
  <si>
    <t>pricing-1423-suivi-des-indicateurs-pricing</t>
  </si>
  <si>
    <t>pricing-1413-suivi-des-indicateurs-pricing</t>
  </si>
  <si>
    <t>pricing-1456-suivi-des-indicateurs-pricing</t>
  </si>
  <si>
    <t>pricing-1473-suivi-des-indicateurs-pricing</t>
  </si>
  <si>
    <t>pricing-1462-suivi-des-indicateurs-pricing</t>
  </si>
  <si>
    <t>pricing-1503-suivi-des-indicateurs-pricing</t>
  </si>
  <si>
    <t>LES LILAS</t>
  </si>
  <si>
    <t>pricing-2753-suivi-des-indicateurs-pricing</t>
  </si>
  <si>
    <t>LEVALLOIS</t>
  </si>
  <si>
    <t>pricing-2752-suivi-des-indicateurs-pricing</t>
  </si>
  <si>
    <t>SOLFERINO</t>
  </si>
  <si>
    <t>pricing-2601-suivi-des-indicateurs-pricing</t>
  </si>
  <si>
    <t xml:space="preserve">Variation des ventes </t>
  </si>
  <si>
    <t xml:space="preserve"> return Math.round(3000 * (1 + (Math.random() - 0.5)));</t>
  </si>
  <si>
    <t>kpi-suivi-application-des-op-caisse-produit</t>
  </si>
  <si>
    <t>last(/pricing-general-suivi-des-indicateurs-pricing/caisses.article-by-store.wrong.count.op)</t>
  </si>
  <si>
    <t>Max COUNT(articles) par magasin uniquement si PRICE_TYPE = VKA0</t>
  </si>
  <si>
    <t>SAP_OMNI_PROMOPRICE_RECON</t>
  </si>
  <si>
    <t>kpi-suivi-application-des-op-caisse-magasin</t>
  </si>
  <si>
    <t>last(/pricing-general-suivi-des-indicateurs-pricing/caisses.magasin.wrong.count.op)</t>
  </si>
  <si>
    <t>Compte unique magasin (STORE_CORE) uniquement si PRICE_TYPE = VKA0</t>
  </si>
  <si>
    <t>kpi-suivi-application-des-op-etiquettes-electroniques-produit</t>
  </si>
  <si>
    <t>last(/pricing-general-suivi-des-indicateurs-pricing/etiquettes-electronique.article-by-store.wrong.count.op)</t>
  </si>
  <si>
    <t>kpi-suivi-application-des-op-etiquettes-electroniques-magasin</t>
  </si>
  <si>
    <t>last(/pricing-general-suivi-des-indicateurs-pricing/etiquettes-electronique.magasin.wrong.count.op)</t>
  </si>
  <si>
    <t>kpi-suivi-application-des-op-etiquettes-papier-produit</t>
  </si>
  <si>
    <t>last(/pricing-general-suivi-des-indicateurs-pricing/etiquettes-papier.article-by-store.wrong.count.op)</t>
  </si>
  <si>
    <t>kpi-suivi-application-des-op-etiquettes-papier-magasin</t>
  </si>
  <si>
    <t>last(/pricing-general-suivi-des-indicateurs-pricing/etiquettes-papier.magasin.wrong.count.op)</t>
  </si>
  <si>
    <t>kpi-suivi-application-des-op-vue-web-magasin-produit</t>
  </si>
  <si>
    <t>last(/pricing-general-suivi-des-indicateurs-pricing/vue-web.article-by-store.wrong.count.op)</t>
  </si>
  <si>
    <t>kpi-suivi-application-des-op-vue-web-magasin-magasin</t>
  </si>
  <si>
    <t>last(/pricing-general-suivi-des-indicateurs-pricing/vue-web.magasin.wrong.count.op)</t>
  </si>
  <si>
    <t>kpi-suivi-application-des-op-appli-commande-magasin-produit</t>
  </si>
  <si>
    <t>return Math.floor(Math.random() * 60) ;</t>
  </si>
  <si>
    <t>kpi-suivi-application-des-op-appli-commande-magasin-magasin</t>
  </si>
  <si>
    <t>return Math.floor(Math.random() &lt; 0.7 ? 1 : Math.floor(Math.random() * 14) + 2);</t>
  </si>
  <si>
    <t>kpi-suivi-des-changements-de-prix-caisse-produit</t>
  </si>
  <si>
    <t>last(/pricing-general-suivi-des-indicateurs-pricing/caisses.article-by-store.wrong.count.not-op)</t>
  </si>
  <si>
    <t>Max COUNT(articles) par magasin uniquement si PRICE_TYPE != VKA0</t>
  </si>
  <si>
    <t>kpi-suivi-des-changements-de-prix-caisse-magasin</t>
  </si>
  <si>
    <t>last(/pricing-general-suivi-des-indicateurs-pricing/caisses.magasin.wrong.count.not-op)</t>
  </si>
  <si>
    <t>Compte unique magasin (STORE_CORE) uniquement si PRICE_TYPE != VKA0</t>
  </si>
  <si>
    <t>kpi-suivi-des-changements-de-prix-etiquettes-electroniques-produit</t>
  </si>
  <si>
    <t>last(/pricing-general-suivi-des-indicateurs-pricing/etiquettes-electronique.article-by-store.wrong.count.not-op)</t>
  </si>
  <si>
    <t>kpi-suivi-des-changements-de-prix-etiquettes-electroniques-magasin</t>
  </si>
  <si>
    <t>last(/pricing-general-suivi-des-indicateurs-pricing/etiquettes-electronique.magasin.wrong.count.not-op)</t>
  </si>
  <si>
    <t>last(/pricing-general-suivi-des-indicateurs-pricing/etiquettes-papier.article-by-store.wrong.count.not-op)</t>
  </si>
  <si>
    <t>last(/pricing-general-suivi-des-indicateurs-pricing/etiquettes-papier.magasin.wrong.count.not-op)</t>
  </si>
  <si>
    <t>last(/pricing-general-suivi-des-indicateurs-pricing/vue-web.article-by-store.wrong.count.not-op)</t>
  </si>
  <si>
    <t>last(/pricing-general-suivi-des-indicateurs-pricing/vue-web.magasin.wrong.count.not-op)</t>
  </si>
  <si>
    <t>return false;</t>
  </si>
  <si>
    <t>recherche-produit-global-percentile</t>
  </si>
  <si>
    <t>Taux d'echec de recherche produit global - pourcentage</t>
  </si>
  <si>
    <t>return Math.floor(Math.random() * 100) ;</t>
  </si>
  <si>
    <t>Echec checkout</t>
  </si>
  <si>
    <t>echec-checkout-global-percentile</t>
  </si>
  <si>
    <t>Taux d'echec de checkout global - pourcentage</t>
  </si>
  <si>
    <t>Digital-Business-panier-moyen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</si>
</sst>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9" fontId="2" fillId="0" borderId="2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B8389E0B-8EBD-8E40-B492-CEFC72317290}">
    <Anchor>
      <Comment id="{3E35C8D6-57B9-9640-850E-F1BB3939BE2D}"/>
    </Anchor>
    <History>
      <Event time="2025-07-21T11:30:46.65" id="{D47E44BD-C8D6-47DB-85CA-D0EB65E2982A}">
        <Attribution userId="S::rgille@somone.fr::f8cd587b-cff5-4201-9779-a62df8dc0962" userName="Romain Gille" userProvider="AD"/>
        <Anchor>
          <Comment id="{3E35C8D6-57B9-9640-850E-F1BB3939BE2D}"/>
        </Anchor>
        <Create/>
      </Event>
      <Event time="2025-07-21T11:30:46.65" id="{0FD8881D-64D2-43F1-8BF4-EF8058CAB78A}">
        <Attribution userId="S::rgille@somone.fr::f8cd587b-cff5-4201-9779-a62df8dc0962" userName="Romain Gille" userProvider="AD"/>
        <Anchor>
          <Comment id="{3E35C8D6-57B9-9640-850E-F1BB3939BE2D}"/>
        </Anchor>
        <Assign userId="S::aducrocq@somone.fr::612dac38-65d0-41d7-9e2a-2aa80bb175d6" userName="Alexandre Ducrocq" userProvider="AD"/>
      </Event>
      <Event time="2025-07-21T11:30:46.65" id="{D5595FFE-F639-4DD3-A4FF-F132F5A6665D}">
        <Attribution userId="S::rgille@somone.fr::f8cd587b-cff5-4201-9779-a62df8dc0962" userName="Romain Gille" userProvider="AD"/>
        <Anchor>
          <Comment id="{3E35C8D6-57B9-9640-850E-F1BB3939BE2D}"/>
        </Anchor>
        <SetTitle title="@Alexandre Ducrocq mettre des valeurs cohérentes avec les données cibles. Si pas possible directement, tu peux mettre une description de ce que tu veux à côté et je le traduirai"/>
      </Event>
    </History>
  </Task>
</Tasks>
</file>

<file path=xl/documenttasks/documenttask2.xml><?xml version="1.0" encoding="utf-8"?>
<Tasks xmlns="http://schemas.microsoft.com/office/tasks/2019/documenttasks">
  <Task id="{61AA09F9-2226-48DE-B01D-66F88A218E04}">
    <Anchor>
      <Comment id="{16523505-8BD2-4C58-A936-4ED79938D1A3}"/>
    </Anchor>
    <History>
      <Event time="2025-07-21T11:30:46.65" id="{D47E44BD-C8D6-47DB-85CA-D0EB65E2982A}">
        <Attribution userId="S::rgille@somone.fr::f8cd587b-cff5-4201-9779-a62df8dc0962" userName="Romain Gille" userProvider="AD"/>
        <Anchor>
          <Comment id="{16523505-8BD2-4C58-A936-4ED79938D1A3}"/>
        </Anchor>
        <Create/>
      </Event>
      <Event time="2025-07-21T11:30:46.65" id="{0FD8881D-64D2-43F1-8BF4-EF8058CAB78A}">
        <Attribution userId="S::rgille@somone.fr::f8cd587b-cff5-4201-9779-a62df8dc0962" userName="Romain Gille" userProvider="AD"/>
        <Anchor>
          <Comment id="{16523505-8BD2-4C58-A936-4ED79938D1A3}"/>
        </Anchor>
        <Assign userId="S::aducrocq@somone.fr::612dac38-65d0-41d7-9e2a-2aa80bb175d6" userName="Alexandre Ducrocq" userProvider="AD"/>
      </Event>
      <Event time="2025-07-21T11:30:46.65" id="{D5595FFE-F639-4DD3-A4FF-F132F5A6665D}">
        <Attribution userId="S::rgille@somone.fr::f8cd587b-cff5-4201-9779-a62df8dc0962" userName="Romain Gille" userProvider="AD"/>
        <Anchor>
          <Comment id="{16523505-8BD2-4C58-A936-4ED79938D1A3}"/>
        </Anchor>
        <SetTitle title="@Alexandre Ducrocq mettre des valeurs cohérentes avec les données cibles. Si pas possible directement, tu peux mettre une description de ce que tu veux à côté et je le traduirai"/>
      </Event>
    </History>
  </Task>
</Task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fichage1" id="{6153EC64-5C1A-4528-A8B8-668C6084F61B}">
    <nsvFilter filterId="{BCE1D124-8605-2945-A944-E66B1AADD8F0}" ref="A1:V83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lexandre Ducrocq" id="{61DE9966-2248-B241-8C90-CF53A5B67DE0}" userId="aducrocq@somone.fr" providerId="PeoplePicker"/>
  <person displayName="Romain Gille" id="{410157F6-3C23-3B42-802A-7F512B7300A5}" userId="S::rgille@somone.fr::f8cd587b-cff5-4201-9779-a62df8dc09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4" dT="2025-07-21T11:30:46.70" personId="{410157F6-3C23-3B42-802A-7F512B7300A5}" id="{3E35C8D6-57B9-9640-850E-F1BB3939BE2D}">
    <text>@Alexandre Ducrocq mettre des valeurs cohérentes avec les données cibles.
Si pas possible directement, tu peux mettre une description de ce que tu veux à côté et je le traduirai</text>
    <mentions>
      <mention mentionpersonId="{61DE9966-2248-B241-8C90-CF53A5B67DE0}" mentionId="{A84E21CB-2F63-C24C-BA50-60AEF2D931B7}" startIndex="0" length="18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4" dT="2025-07-21T11:30:46.70" personId="{410157F6-3C23-3B42-802A-7F512B7300A5}" id="{16523505-8BD2-4C58-A936-4ED79938D1A3}">
    <text>@Alexandre Ducrocq mettre des valeurs cohérentes avec les données cibles.
Si pas possible directement, tu peux mettre une description de ce que tu veux à côté et je le traduirai</text>
    <mentions>
      <mention mentionpersonId="{61DE9966-2248-B241-8C90-CF53A5B67DE0}" mentionId="{C0DACF10-CBF0-4866-8D47-ADA0DEE5FF81}" startIndex="0" length="18"/>
    </mentions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E43"/>
  <sheetViews>
    <sheetView zoomScale="190" zoomScaleNormal="190" workbookViewId="0">
      <selection activeCell="E14" sqref="E14"/>
    </sheetView>
  </sheetViews>
  <sheetFormatPr baseColWidth="10" defaultColWidth="8.88671875" defaultRowHeight="14.4" x14ac:dyDescent="0.3"/>
  <cols>
    <col min="1" max="1" width="15.33203125" bestFit="1" customWidth="1"/>
    <col min="2" max="2" width="14" bestFit="1" customWidth="1"/>
    <col min="3" max="3" width="15.109375" bestFit="1" customWidth="1"/>
    <col min="4" max="4" width="5.6640625" bestFit="1" customWidth="1"/>
    <col min="5" max="5" width="8.44140625" customWidth="1"/>
    <col min="6" max="6" width="12.44140625" bestFit="1" customWidth="1"/>
    <col min="7" max="7" width="11.88671875" bestFit="1" customWidth="1"/>
    <col min="8" max="8" width="15.44140625" bestFit="1" customWidth="1"/>
    <col min="9" max="9" width="6" bestFit="1" customWidth="1"/>
    <col min="10" max="10" width="7" bestFit="1" customWidth="1"/>
    <col min="11" max="11" width="8.44140625" bestFit="1" customWidth="1"/>
    <col min="12" max="12" width="8.88671875" bestFit="1" customWidth="1"/>
    <col min="13" max="13" width="9.44140625" bestFit="1" customWidth="1"/>
    <col min="14" max="14" width="8" bestFit="1" customWidth="1"/>
    <col min="15" max="15" width="12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tr">
        <f>IF(A2="","",LOWER(A2))</f>
        <v>pricing</v>
      </c>
      <c r="C2" t="s">
        <v>5</v>
      </c>
      <c r="D2">
        <f>IF(A2="","",1)</f>
        <v>1</v>
      </c>
    </row>
    <row r="3" spans="1:4" x14ac:dyDescent="0.3">
      <c r="A3" t="s">
        <v>6</v>
      </c>
      <c r="B3" t="str">
        <f>IF(A3="","",LOWER(A3))</f>
        <v>web</v>
      </c>
      <c r="C3" t="s">
        <v>7</v>
      </c>
      <c r="D3">
        <f>IF(A3="","",D2+1)</f>
        <v>2</v>
      </c>
    </row>
    <row r="4" spans="1:4" x14ac:dyDescent="0.3">
      <c r="A4" t="s">
        <v>8</v>
      </c>
      <c r="B4" t="s">
        <v>9</v>
      </c>
      <c r="C4" t="s">
        <v>10</v>
      </c>
      <c r="D4">
        <f>IF(A4="","",D3+1)</f>
        <v>3</v>
      </c>
    </row>
    <row r="5" spans="1:4" x14ac:dyDescent="0.3">
      <c r="A5" t="s">
        <v>11</v>
      </c>
      <c r="B5" t="str">
        <f>IF(A5="","",_xlfn.REGEXREPLACE(LOWER(A5)," ","-"))</f>
        <v>marketplace</v>
      </c>
      <c r="C5" t="s">
        <v>12</v>
      </c>
      <c r="D5">
        <f>IF(A5="","",D4+1)</f>
        <v>4</v>
      </c>
    </row>
    <row r="6" spans="1:4" x14ac:dyDescent="0.3">
      <c r="A6" t="s">
        <v>13</v>
      </c>
      <c r="B6" t="str">
        <f>IF(A6="","",_xlfn.REGEXREPLACE(LOWER(A6)," ","-"))</f>
        <v>magasins</v>
      </c>
      <c r="C6" t="s">
        <v>14</v>
      </c>
      <c r="D6">
        <f>IF(A6="","",D5+1)</f>
        <v>5</v>
      </c>
    </row>
    <row r="8" spans="1:4" x14ac:dyDescent="0.3">
      <c r="B8" t="str">
        <f>IF(A8="","",LOWER(A8))</f>
        <v/>
      </c>
      <c r="C8" t="str">
        <f>IF(A8="","",_xlfn.CONCAT("svg-",B8))</f>
        <v/>
      </c>
      <c r="D8" t="str">
        <f>IF(A8="","",D7+1)</f>
        <v/>
      </c>
    </row>
    <row r="9" spans="1:4" x14ac:dyDescent="0.3">
      <c r="B9" t="str">
        <f>IF(A9="","",LOWER(A9))</f>
        <v/>
      </c>
      <c r="C9" t="str">
        <f>IF(A9="","",_xlfn.CONCAT("svg-",B9))</f>
        <v/>
      </c>
      <c r="D9" t="str">
        <f>IF(A9="","",D8+1)</f>
        <v/>
      </c>
    </row>
    <row r="35" spans="3:5" x14ac:dyDescent="0.3">
      <c r="C35" t="s">
        <v>15</v>
      </c>
      <c r="D35" t="s">
        <v>15</v>
      </c>
      <c r="E35" t="s">
        <v>15</v>
      </c>
    </row>
    <row r="36" spans="3:5" x14ac:dyDescent="0.3">
      <c r="C36" t="s">
        <v>15</v>
      </c>
      <c r="D36" t="s">
        <v>15</v>
      </c>
      <c r="E36" t="s">
        <v>15</v>
      </c>
    </row>
    <row r="37" spans="3:5" x14ac:dyDescent="0.3">
      <c r="C37" t="s">
        <v>15</v>
      </c>
      <c r="D37" t="s">
        <v>15</v>
      </c>
      <c r="E37" t="s">
        <v>15</v>
      </c>
    </row>
    <row r="38" spans="3:5" x14ac:dyDescent="0.3">
      <c r="C38" t="s">
        <v>15</v>
      </c>
      <c r="D38" t="s">
        <v>15</v>
      </c>
      <c r="E38" t="s">
        <v>15</v>
      </c>
    </row>
    <row r="39" spans="3:5" x14ac:dyDescent="0.3">
      <c r="C39" t="s">
        <v>15</v>
      </c>
      <c r="D39" t="s">
        <v>15</v>
      </c>
      <c r="E39" t="s">
        <v>15</v>
      </c>
    </row>
    <row r="40" spans="3:5" x14ac:dyDescent="0.3">
      <c r="C40" t="s">
        <v>15</v>
      </c>
      <c r="D40" t="s">
        <v>15</v>
      </c>
      <c r="E40" t="s">
        <v>15</v>
      </c>
    </row>
    <row r="41" spans="3:5" x14ac:dyDescent="0.3">
      <c r="C41" t="s">
        <v>15</v>
      </c>
      <c r="D41" t="s">
        <v>15</v>
      </c>
      <c r="E41" t="s">
        <v>15</v>
      </c>
    </row>
    <row r="42" spans="3:5" x14ac:dyDescent="0.3">
      <c r="C42" t="s">
        <v>15</v>
      </c>
      <c r="D42" t="s">
        <v>15</v>
      </c>
      <c r="E42" t="s">
        <v>15</v>
      </c>
    </row>
    <row r="43" spans="3:5" x14ac:dyDescent="0.3">
      <c r="C43" t="s">
        <v>15</v>
      </c>
      <c r="D43" t="s">
        <v>15</v>
      </c>
      <c r="E4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64FB-1E28-44F8-8B3E-B59D49754A37}">
  <sheetPr codeName="Feuil2"/>
  <dimension ref="A1:E8"/>
  <sheetViews>
    <sheetView zoomScale="200" zoomScaleNormal="200" workbookViewId="0">
      <selection activeCell="B11" sqref="B11"/>
    </sheetView>
  </sheetViews>
  <sheetFormatPr baseColWidth="10" defaultColWidth="8.88671875" defaultRowHeight="14.4" x14ac:dyDescent="0.3"/>
  <cols>
    <col min="1" max="1" width="27.6640625" bestFit="1" customWidth="1"/>
    <col min="2" max="2" width="26.88671875" bestFit="1" customWidth="1"/>
    <col min="3" max="3" width="29.88671875" bestFit="1" customWidth="1"/>
    <col min="4" max="4" width="5.6640625" bestFit="1" customWidth="1"/>
    <col min="5" max="5" width="9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</row>
    <row r="2" spans="1:5" x14ac:dyDescent="0.3">
      <c r="A2" t="s">
        <v>17</v>
      </c>
      <c r="B2" t="str">
        <f>IF(A1="","",_xlfn.REGEXREPLACE(_xlfn.REGEXREPLACE(LOWER(A2)," / "," ")," ","-"))</f>
        <v>magasin-unitaire</v>
      </c>
      <c r="C2" t="s">
        <v>14</v>
      </c>
      <c r="D2">
        <v>1</v>
      </c>
      <c r="E2" t="s">
        <v>18</v>
      </c>
    </row>
    <row r="3" spans="1:5" x14ac:dyDescent="0.3">
      <c r="A3" t="s">
        <v>19</v>
      </c>
      <c r="B3" t="str">
        <f>IF(A2="","",_xlfn.REGEXREPLACE(_xlfn.REGEXREPLACE(LOWER(A3)," / "," ")," ","-"))</f>
        <v>variation-des-ventes</v>
      </c>
      <c r="C3" t="s">
        <v>20</v>
      </c>
      <c r="D3">
        <f t="shared" ref="D3:D8" si="0">IF(A3="","",D2+1)</f>
        <v>2</v>
      </c>
      <c r="E3" t="s">
        <v>21</v>
      </c>
    </row>
    <row r="4" spans="1:5" x14ac:dyDescent="0.3">
      <c r="A4" t="s">
        <v>22</v>
      </c>
      <c r="B4" t="str">
        <f t="shared" ref="B4:B7" si="1">IF(A3="","",_xlfn.REGEXREPLACE(_xlfn.REGEXREPLACE(LOWER(A4)," / "," ")," ","-"))</f>
        <v>recherche-produit</v>
      </c>
      <c r="C4" t="s">
        <v>23</v>
      </c>
      <c r="D4">
        <f t="shared" si="0"/>
        <v>3</v>
      </c>
      <c r="E4" t="s">
        <v>21</v>
      </c>
    </row>
    <row r="5" spans="1:5" x14ac:dyDescent="0.3">
      <c r="A5" t="s">
        <v>24</v>
      </c>
      <c r="B5" t="s">
        <v>25</v>
      </c>
      <c r="C5" t="s">
        <v>26</v>
      </c>
      <c r="D5">
        <f t="shared" si="0"/>
        <v>4</v>
      </c>
      <c r="E5" t="s">
        <v>21</v>
      </c>
    </row>
    <row r="6" spans="1:5" x14ac:dyDescent="0.3">
      <c r="A6" t="s">
        <v>27</v>
      </c>
      <c r="B6" t="str">
        <f t="shared" si="1"/>
        <v>suivi-applications-des-op</v>
      </c>
      <c r="C6" t="s">
        <v>5</v>
      </c>
      <c r="D6">
        <f t="shared" si="0"/>
        <v>5</v>
      </c>
      <c r="E6" t="s">
        <v>28</v>
      </c>
    </row>
    <row r="7" spans="1:5" x14ac:dyDescent="0.3">
      <c r="A7" t="s">
        <v>29</v>
      </c>
      <c r="B7" t="str">
        <f t="shared" si="1"/>
        <v>suivi-des-changements-de-prix</v>
      </c>
      <c r="C7" t="s">
        <v>30</v>
      </c>
      <c r="D7">
        <f t="shared" si="0"/>
        <v>6</v>
      </c>
      <c r="E7" t="s">
        <v>28</v>
      </c>
    </row>
    <row r="8" spans="1:5" x14ac:dyDescent="0.3">
      <c r="A8" t="s">
        <v>31</v>
      </c>
      <c r="B8" t="s">
        <v>32</v>
      </c>
      <c r="C8" t="s">
        <v>33</v>
      </c>
      <c r="D8">
        <f t="shared" si="0"/>
        <v>7</v>
      </c>
      <c r="E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DE2A-7364-EB41-A253-2F6979FA1ED9}">
  <dimension ref="A1:D4"/>
  <sheetViews>
    <sheetView workbookViewId="0">
      <selection activeCell="A12" sqref="A12"/>
    </sheetView>
  </sheetViews>
  <sheetFormatPr baseColWidth="10" defaultColWidth="11.44140625" defaultRowHeight="14.4" x14ac:dyDescent="0.3"/>
  <cols>
    <col min="1" max="1" width="45.109375" customWidth="1"/>
    <col min="2" max="2" width="9.33203125" bestFit="1" customWidth="1"/>
    <col min="3" max="3" width="5.6640625" bestFit="1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t="s">
        <v>2</v>
      </c>
    </row>
    <row r="2" spans="1:4" x14ac:dyDescent="0.3">
      <c r="A2" t="s">
        <v>13</v>
      </c>
      <c r="B2" t="s">
        <v>18</v>
      </c>
      <c r="C2">
        <v>1</v>
      </c>
      <c r="D2" t="s">
        <v>14</v>
      </c>
    </row>
    <row r="3" spans="1:4" x14ac:dyDescent="0.3">
      <c r="A3" t="s">
        <v>34</v>
      </c>
      <c r="B3" t="s">
        <v>35</v>
      </c>
      <c r="C3">
        <v>2</v>
      </c>
      <c r="D3" t="s">
        <v>36</v>
      </c>
    </row>
    <row r="4" spans="1:4" x14ac:dyDescent="0.3">
      <c r="A4" t="s">
        <v>37</v>
      </c>
      <c r="B4" t="s">
        <v>28</v>
      </c>
      <c r="C4">
        <v>3</v>
      </c>
      <c r="D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43BC-2E64-4087-92AB-AA2D2956F8C6}">
  <sheetPr codeName="Feuil3"/>
  <dimension ref="A1:E40"/>
  <sheetViews>
    <sheetView zoomScale="160" zoomScaleNormal="160" workbookViewId="0">
      <selection activeCell="A15" sqref="A15"/>
    </sheetView>
  </sheetViews>
  <sheetFormatPr baseColWidth="10" defaultColWidth="8.88671875" defaultRowHeight="14.4" x14ac:dyDescent="0.3"/>
  <cols>
    <col min="1" max="1" width="25.109375" bestFit="1" customWidth="1"/>
    <col min="2" max="2" width="28.88671875" customWidth="1"/>
    <col min="3" max="3" width="14.109375" customWidth="1"/>
    <col min="4" max="4" width="11.33203125" customWidth="1"/>
    <col min="5" max="5" width="9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</row>
    <row r="2" spans="1:5" x14ac:dyDescent="0.3">
      <c r="A2" t="s">
        <v>40</v>
      </c>
      <c r="B2" t="e">
        <f>IF(#REF!="","",_xlfn.REGEXREPLACE(_xlfn.REGEXREPLACE(LOWER(A2)," / "," ")," ","-"))</f>
        <v>#REF!</v>
      </c>
      <c r="C2" t="s">
        <v>7</v>
      </c>
      <c r="D2" t="e">
        <f>IF(A2="","",#REF!+1)</f>
        <v>#REF!</v>
      </c>
      <c r="E2" t="s">
        <v>35</v>
      </c>
    </row>
    <row r="3" spans="1:5" x14ac:dyDescent="0.3">
      <c r="A3" t="s">
        <v>37</v>
      </c>
      <c r="B3" t="s">
        <v>653</v>
      </c>
      <c r="C3" t="s">
        <v>38</v>
      </c>
      <c r="D3" t="e">
        <f t="shared" ref="D3:D40" si="0">IF(A3="","",D2+1)</f>
        <v>#REF!</v>
      </c>
      <c r="E3" t="s">
        <v>35</v>
      </c>
    </row>
    <row r="4" spans="1:5" x14ac:dyDescent="0.3">
      <c r="B4" t="str">
        <f t="shared" ref="B4" si="1">IF(A4="","",LOWER(A4))</f>
        <v/>
      </c>
      <c r="C4" t="str">
        <f t="shared" ref="C4:C5" si="2">IF(A4="","",_xlfn.CONCAT("svg-",B4))</f>
        <v/>
      </c>
    </row>
    <row r="5" spans="1:5" x14ac:dyDescent="0.3">
      <c r="B5" t="str">
        <f t="shared" ref="B5:B40" si="3">IF(A5="","",LOWER(A5))</f>
        <v/>
      </c>
      <c r="C5" t="str">
        <f t="shared" si="2"/>
        <v/>
      </c>
      <c r="D5" t="str">
        <f t="shared" si="0"/>
        <v/>
      </c>
    </row>
    <row r="6" spans="1:5" x14ac:dyDescent="0.3">
      <c r="B6" t="str">
        <f t="shared" si="3"/>
        <v/>
      </c>
      <c r="C6" t="str">
        <f t="shared" ref="C6:C40" si="4">IF(A6="","",_xlfn.CONCAT("svg-",B6))</f>
        <v/>
      </c>
      <c r="D6" t="str">
        <f t="shared" si="0"/>
        <v/>
      </c>
    </row>
    <row r="7" spans="1:5" x14ac:dyDescent="0.3">
      <c r="B7" t="str">
        <f t="shared" si="3"/>
        <v/>
      </c>
      <c r="C7" t="str">
        <f t="shared" si="4"/>
        <v/>
      </c>
      <c r="D7" t="str">
        <f t="shared" si="0"/>
        <v/>
      </c>
    </row>
    <row r="8" spans="1:5" x14ac:dyDescent="0.3">
      <c r="B8" t="str">
        <f t="shared" si="3"/>
        <v/>
      </c>
      <c r="C8" t="str">
        <f t="shared" si="4"/>
        <v/>
      </c>
      <c r="D8" t="str">
        <f t="shared" si="0"/>
        <v/>
      </c>
    </row>
    <row r="9" spans="1:5" x14ac:dyDescent="0.3">
      <c r="B9" t="str">
        <f t="shared" si="3"/>
        <v/>
      </c>
      <c r="C9" t="str">
        <f t="shared" si="4"/>
        <v/>
      </c>
      <c r="D9" t="str">
        <f t="shared" si="0"/>
        <v/>
      </c>
    </row>
    <row r="10" spans="1:5" x14ac:dyDescent="0.3">
      <c r="B10" t="str">
        <f t="shared" si="3"/>
        <v/>
      </c>
      <c r="C10" t="str">
        <f t="shared" si="4"/>
        <v/>
      </c>
      <c r="D10" t="str">
        <f t="shared" si="0"/>
        <v/>
      </c>
    </row>
    <row r="11" spans="1:5" x14ac:dyDescent="0.3">
      <c r="B11" t="str">
        <f t="shared" si="3"/>
        <v/>
      </c>
      <c r="C11" t="str">
        <f t="shared" si="4"/>
        <v/>
      </c>
      <c r="D11" t="str">
        <f t="shared" si="0"/>
        <v/>
      </c>
    </row>
    <row r="12" spans="1:5" x14ac:dyDescent="0.3">
      <c r="B12" t="str">
        <f t="shared" si="3"/>
        <v/>
      </c>
      <c r="C12" t="str">
        <f t="shared" si="4"/>
        <v/>
      </c>
      <c r="D12" t="str">
        <f t="shared" si="0"/>
        <v/>
      </c>
    </row>
    <row r="13" spans="1:5" x14ac:dyDescent="0.3">
      <c r="B13" t="str">
        <f t="shared" si="3"/>
        <v/>
      </c>
      <c r="C13" t="str">
        <f t="shared" si="4"/>
        <v/>
      </c>
      <c r="D13" t="str">
        <f t="shared" si="0"/>
        <v/>
      </c>
    </row>
    <row r="14" spans="1:5" x14ac:dyDescent="0.3">
      <c r="B14" t="str">
        <f t="shared" si="3"/>
        <v/>
      </c>
      <c r="C14" t="str">
        <f t="shared" si="4"/>
        <v/>
      </c>
      <c r="D14" t="str">
        <f t="shared" si="0"/>
        <v/>
      </c>
    </row>
    <row r="15" spans="1:5" x14ac:dyDescent="0.3">
      <c r="B15" t="str">
        <f t="shared" si="3"/>
        <v/>
      </c>
      <c r="C15" t="str">
        <f t="shared" si="4"/>
        <v/>
      </c>
      <c r="D15" t="str">
        <f t="shared" si="0"/>
        <v/>
      </c>
    </row>
    <row r="16" spans="1:5" x14ac:dyDescent="0.3">
      <c r="B16" t="str">
        <f t="shared" si="3"/>
        <v/>
      </c>
      <c r="C16" t="str">
        <f t="shared" si="4"/>
        <v/>
      </c>
      <c r="D16" t="str">
        <f t="shared" si="0"/>
        <v/>
      </c>
    </row>
    <row r="17" spans="2:4" x14ac:dyDescent="0.3">
      <c r="B17" t="str">
        <f t="shared" si="3"/>
        <v/>
      </c>
      <c r="C17" t="str">
        <f t="shared" si="4"/>
        <v/>
      </c>
      <c r="D17" t="str">
        <f t="shared" si="0"/>
        <v/>
      </c>
    </row>
    <row r="18" spans="2:4" x14ac:dyDescent="0.3">
      <c r="B18" t="str">
        <f t="shared" si="3"/>
        <v/>
      </c>
      <c r="C18" t="str">
        <f t="shared" si="4"/>
        <v/>
      </c>
      <c r="D18" t="str">
        <f t="shared" si="0"/>
        <v/>
      </c>
    </row>
    <row r="19" spans="2:4" x14ac:dyDescent="0.3">
      <c r="B19" t="str">
        <f t="shared" si="3"/>
        <v/>
      </c>
      <c r="C19" t="str">
        <f t="shared" si="4"/>
        <v/>
      </c>
      <c r="D19" t="str">
        <f t="shared" si="0"/>
        <v/>
      </c>
    </row>
    <row r="20" spans="2:4" x14ac:dyDescent="0.3">
      <c r="B20" t="str">
        <f t="shared" si="3"/>
        <v/>
      </c>
      <c r="C20" t="str">
        <f t="shared" si="4"/>
        <v/>
      </c>
      <c r="D20" t="str">
        <f t="shared" si="0"/>
        <v/>
      </c>
    </row>
    <row r="21" spans="2:4" x14ac:dyDescent="0.3">
      <c r="B21" t="str">
        <f t="shared" si="3"/>
        <v/>
      </c>
      <c r="C21" t="str">
        <f t="shared" si="4"/>
        <v/>
      </c>
      <c r="D21" t="str">
        <f t="shared" si="0"/>
        <v/>
      </c>
    </row>
    <row r="22" spans="2:4" x14ac:dyDescent="0.3">
      <c r="B22" t="str">
        <f t="shared" si="3"/>
        <v/>
      </c>
      <c r="C22" t="str">
        <f t="shared" si="4"/>
        <v/>
      </c>
      <c r="D22" t="str">
        <f t="shared" si="0"/>
        <v/>
      </c>
    </row>
    <row r="23" spans="2:4" x14ac:dyDescent="0.3">
      <c r="B23" t="str">
        <f t="shared" si="3"/>
        <v/>
      </c>
      <c r="C23" t="str">
        <f t="shared" si="4"/>
        <v/>
      </c>
      <c r="D23" t="str">
        <f t="shared" si="0"/>
        <v/>
      </c>
    </row>
    <row r="24" spans="2:4" x14ac:dyDescent="0.3">
      <c r="B24" t="str">
        <f t="shared" si="3"/>
        <v/>
      </c>
      <c r="C24" t="str">
        <f t="shared" si="4"/>
        <v/>
      </c>
      <c r="D24" t="str">
        <f t="shared" si="0"/>
        <v/>
      </c>
    </row>
    <row r="25" spans="2:4" x14ac:dyDescent="0.3">
      <c r="B25" t="str">
        <f t="shared" si="3"/>
        <v/>
      </c>
      <c r="C25" t="str">
        <f t="shared" si="4"/>
        <v/>
      </c>
      <c r="D25" t="str">
        <f t="shared" si="0"/>
        <v/>
      </c>
    </row>
    <row r="26" spans="2:4" x14ac:dyDescent="0.3">
      <c r="B26" t="str">
        <f t="shared" si="3"/>
        <v/>
      </c>
      <c r="C26" t="str">
        <f t="shared" si="4"/>
        <v/>
      </c>
      <c r="D26" t="str">
        <f t="shared" si="0"/>
        <v/>
      </c>
    </row>
    <row r="27" spans="2:4" x14ac:dyDescent="0.3">
      <c r="B27" t="str">
        <f t="shared" si="3"/>
        <v/>
      </c>
      <c r="C27" t="str">
        <f t="shared" si="4"/>
        <v/>
      </c>
      <c r="D27" t="str">
        <f t="shared" si="0"/>
        <v/>
      </c>
    </row>
    <row r="28" spans="2:4" x14ac:dyDescent="0.3">
      <c r="B28" t="str">
        <f t="shared" si="3"/>
        <v/>
      </c>
      <c r="C28" t="str">
        <f t="shared" si="4"/>
        <v/>
      </c>
      <c r="D28" t="str">
        <f t="shared" si="0"/>
        <v/>
      </c>
    </row>
    <row r="29" spans="2:4" x14ac:dyDescent="0.3">
      <c r="B29" t="str">
        <f t="shared" si="3"/>
        <v/>
      </c>
      <c r="C29" t="str">
        <f t="shared" si="4"/>
        <v/>
      </c>
      <c r="D29" t="str">
        <f t="shared" si="0"/>
        <v/>
      </c>
    </row>
    <row r="30" spans="2:4" x14ac:dyDescent="0.3">
      <c r="B30" t="str">
        <f t="shared" si="3"/>
        <v/>
      </c>
      <c r="C30" t="str">
        <f t="shared" si="4"/>
        <v/>
      </c>
      <c r="D30" t="str">
        <f t="shared" si="0"/>
        <v/>
      </c>
    </row>
    <row r="31" spans="2:4" x14ac:dyDescent="0.3">
      <c r="B31" t="str">
        <f t="shared" si="3"/>
        <v/>
      </c>
      <c r="C31" t="str">
        <f t="shared" si="4"/>
        <v/>
      </c>
      <c r="D31" t="str">
        <f t="shared" si="0"/>
        <v/>
      </c>
    </row>
    <row r="32" spans="2:4" x14ac:dyDescent="0.3">
      <c r="B32" t="str">
        <f t="shared" si="3"/>
        <v/>
      </c>
      <c r="C32" t="str">
        <f t="shared" si="4"/>
        <v/>
      </c>
      <c r="D32" t="str">
        <f t="shared" si="0"/>
        <v/>
      </c>
    </row>
    <row r="33" spans="2:4" x14ac:dyDescent="0.3">
      <c r="B33" t="str">
        <f t="shared" si="3"/>
        <v/>
      </c>
      <c r="C33" t="str">
        <f t="shared" si="4"/>
        <v/>
      </c>
      <c r="D33" t="str">
        <f t="shared" si="0"/>
        <v/>
      </c>
    </row>
    <row r="34" spans="2:4" x14ac:dyDescent="0.3">
      <c r="B34" t="str">
        <f t="shared" si="3"/>
        <v/>
      </c>
      <c r="C34" t="str">
        <f t="shared" si="4"/>
        <v/>
      </c>
      <c r="D34" t="str">
        <f t="shared" si="0"/>
        <v/>
      </c>
    </row>
    <row r="35" spans="2:4" x14ac:dyDescent="0.3">
      <c r="B35" t="str">
        <f t="shared" si="3"/>
        <v/>
      </c>
      <c r="C35" t="str">
        <f t="shared" si="4"/>
        <v/>
      </c>
      <c r="D35" t="str">
        <f t="shared" si="0"/>
        <v/>
      </c>
    </row>
    <row r="36" spans="2:4" x14ac:dyDescent="0.3">
      <c r="B36" t="str">
        <f t="shared" si="3"/>
        <v/>
      </c>
      <c r="C36" t="str">
        <f t="shared" si="4"/>
        <v/>
      </c>
      <c r="D36" t="str">
        <f t="shared" si="0"/>
        <v/>
      </c>
    </row>
    <row r="37" spans="2:4" x14ac:dyDescent="0.3">
      <c r="B37" t="str">
        <f t="shared" si="3"/>
        <v/>
      </c>
      <c r="C37" t="str">
        <f t="shared" si="4"/>
        <v/>
      </c>
      <c r="D37" t="str">
        <f t="shared" si="0"/>
        <v/>
      </c>
    </row>
    <row r="38" spans="2:4" x14ac:dyDescent="0.3">
      <c r="B38" t="str">
        <f t="shared" si="3"/>
        <v/>
      </c>
      <c r="C38" t="str">
        <f t="shared" si="4"/>
        <v/>
      </c>
      <c r="D38" t="str">
        <f t="shared" si="0"/>
        <v/>
      </c>
    </row>
    <row r="39" spans="2:4" x14ac:dyDescent="0.3">
      <c r="B39" t="str">
        <f t="shared" si="3"/>
        <v/>
      </c>
      <c r="C39" t="str">
        <f t="shared" si="4"/>
        <v/>
      </c>
      <c r="D39" t="str">
        <f t="shared" si="0"/>
        <v/>
      </c>
    </row>
    <row r="40" spans="2:4" x14ac:dyDescent="0.3">
      <c r="B40" t="str">
        <f t="shared" si="3"/>
        <v/>
      </c>
      <c r="C40" t="str">
        <f t="shared" si="4"/>
        <v/>
      </c>
      <c r="D40" t="str">
        <f t="shared" si="0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CD96-DFB4-4109-B0C3-F86364827A8A}">
  <dimension ref="A1:J198"/>
  <sheetViews>
    <sheetView tabSelected="1" zoomScale="160" zoomScaleNormal="160" workbookViewId="0">
      <pane ySplit="1" topLeftCell="A2" activePane="bottomLeft" state="frozen"/>
      <selection pane="bottomLeft" activeCell="A9" sqref="A9"/>
    </sheetView>
  </sheetViews>
  <sheetFormatPr baseColWidth="10" defaultColWidth="8.88671875" defaultRowHeight="14.4" x14ac:dyDescent="0.3"/>
  <cols>
    <col min="1" max="1" width="126.88671875" bestFit="1" customWidth="1"/>
    <col min="2" max="2" width="13.33203125" bestFit="1" customWidth="1"/>
    <col min="3" max="3" width="26" bestFit="1" customWidth="1"/>
    <col min="4" max="4" width="61.88671875" bestFit="1" customWidth="1"/>
    <col min="5" max="5" width="12.44140625" bestFit="1" customWidth="1"/>
    <col min="6" max="6" width="10.6640625" bestFit="1" customWidth="1"/>
    <col min="7" max="7" width="20.109375" bestFit="1" customWidth="1"/>
    <col min="8" max="8" width="37.44140625" customWidth="1"/>
    <col min="9" max="9" width="18.44140625" bestFit="1" customWidth="1"/>
    <col min="10" max="10" width="18.109375" bestFit="1" customWidth="1"/>
  </cols>
  <sheetData>
    <row r="1" spans="1:10" x14ac:dyDescent="0.3">
      <c r="A1" s="1" t="s">
        <v>41</v>
      </c>
      <c r="B1" s="1" t="s">
        <v>0</v>
      </c>
      <c r="C1" s="1" t="s">
        <v>42</v>
      </c>
      <c r="D1" s="1" t="s">
        <v>1</v>
      </c>
      <c r="E1" s="1" t="s">
        <v>39</v>
      </c>
      <c r="F1" s="1" t="s">
        <v>3</v>
      </c>
      <c r="G1" t="s">
        <v>43</v>
      </c>
      <c r="H1" t="s">
        <v>44</v>
      </c>
      <c r="I1" t="s">
        <v>45</v>
      </c>
      <c r="J1" t="s">
        <v>46</v>
      </c>
    </row>
    <row r="2" spans="1:10" x14ac:dyDescent="0.3">
      <c r="A2" t="s">
        <v>47</v>
      </c>
      <c r="B2" t="s">
        <v>48</v>
      </c>
      <c r="C2" t="s">
        <v>49</v>
      </c>
      <c r="D2" t="s">
        <v>50</v>
      </c>
      <c r="E2" t="s">
        <v>18</v>
      </c>
      <c r="F2" t="s">
        <v>51</v>
      </c>
      <c r="G2" t="s">
        <v>52</v>
      </c>
      <c r="H2" s="9" t="s">
        <v>53</v>
      </c>
      <c r="I2" t="s">
        <v>54</v>
      </c>
      <c r="J2" t="s">
        <v>55</v>
      </c>
    </row>
    <row r="3" spans="1:10" x14ac:dyDescent="0.3">
      <c r="A3" t="s">
        <v>47</v>
      </c>
      <c r="B3" t="s">
        <v>48</v>
      </c>
      <c r="C3" t="s">
        <v>56</v>
      </c>
      <c r="D3" t="s">
        <v>57</v>
      </c>
      <c r="E3" t="s">
        <v>28</v>
      </c>
      <c r="F3" t="s">
        <v>51</v>
      </c>
      <c r="G3" t="s">
        <v>52</v>
      </c>
      <c r="H3" s="9" t="s">
        <v>53</v>
      </c>
      <c r="I3" t="s">
        <v>54</v>
      </c>
      <c r="J3" t="s">
        <v>55</v>
      </c>
    </row>
    <row r="4" spans="1:10" x14ac:dyDescent="0.3">
      <c r="A4" t="s">
        <v>58</v>
      </c>
      <c r="D4" t="s">
        <v>59</v>
      </c>
      <c r="F4" t="s">
        <v>51</v>
      </c>
      <c r="G4" t="s">
        <v>52</v>
      </c>
      <c r="H4" s="9" t="s">
        <v>53</v>
      </c>
      <c r="I4" t="s">
        <v>54</v>
      </c>
      <c r="J4" t="s">
        <v>55</v>
      </c>
    </row>
    <row r="11" spans="1:10" x14ac:dyDescent="0.3">
      <c r="D11" s="7"/>
    </row>
    <row r="12" spans="1:10" x14ac:dyDescent="0.3">
      <c r="D12" s="7"/>
    </row>
    <row r="13" spans="1:10" x14ac:dyDescent="0.3">
      <c r="D13" s="7"/>
    </row>
    <row r="14" spans="1:10" x14ac:dyDescent="0.3">
      <c r="D14" s="7"/>
    </row>
    <row r="15" spans="1:10" x14ac:dyDescent="0.3">
      <c r="D15" s="7"/>
    </row>
    <row r="16" spans="1:10" x14ac:dyDescent="0.3">
      <c r="D16" s="7"/>
    </row>
    <row r="17" spans="4:4" x14ac:dyDescent="0.3">
      <c r="D17" s="7"/>
    </row>
    <row r="18" spans="4:4" x14ac:dyDescent="0.3">
      <c r="D18" s="7"/>
    </row>
    <row r="19" spans="4:4" x14ac:dyDescent="0.3">
      <c r="D19" s="7"/>
    </row>
    <row r="20" spans="4:4" x14ac:dyDescent="0.3">
      <c r="D20" s="7"/>
    </row>
    <row r="21" spans="4:4" x14ac:dyDescent="0.3">
      <c r="D21" s="7"/>
    </row>
    <row r="22" spans="4:4" x14ac:dyDescent="0.3">
      <c r="D22" s="7"/>
    </row>
    <row r="23" spans="4:4" x14ac:dyDescent="0.3">
      <c r="D23" s="7"/>
    </row>
    <row r="24" spans="4:4" x14ac:dyDescent="0.3">
      <c r="D24" s="7"/>
    </row>
    <row r="25" spans="4:4" x14ac:dyDescent="0.3">
      <c r="D25" s="7"/>
    </row>
    <row r="26" spans="4:4" x14ac:dyDescent="0.3">
      <c r="D26" s="7"/>
    </row>
    <row r="27" spans="4:4" x14ac:dyDescent="0.3">
      <c r="D27" s="7"/>
    </row>
    <row r="28" spans="4:4" x14ac:dyDescent="0.3">
      <c r="D28" s="7"/>
    </row>
    <row r="29" spans="4:4" x14ac:dyDescent="0.3">
      <c r="D29" s="7"/>
    </row>
    <row r="30" spans="4:4" x14ac:dyDescent="0.3">
      <c r="D30" s="7"/>
    </row>
    <row r="31" spans="4:4" x14ac:dyDescent="0.3">
      <c r="D31" s="7"/>
    </row>
    <row r="32" spans="4:4" x14ac:dyDescent="0.3">
      <c r="D32" s="7"/>
    </row>
    <row r="33" spans="4:4" x14ac:dyDescent="0.3">
      <c r="D33" s="7"/>
    </row>
    <row r="34" spans="4:4" x14ac:dyDescent="0.3">
      <c r="D34" s="7"/>
    </row>
    <row r="35" spans="4:4" x14ac:dyDescent="0.3">
      <c r="D35" s="7"/>
    </row>
    <row r="36" spans="4:4" x14ac:dyDescent="0.3">
      <c r="D36" s="7"/>
    </row>
    <row r="37" spans="4:4" x14ac:dyDescent="0.3">
      <c r="D37" s="7"/>
    </row>
    <row r="38" spans="4:4" x14ac:dyDescent="0.3">
      <c r="D38" s="7"/>
    </row>
    <row r="39" spans="4:4" x14ac:dyDescent="0.3">
      <c r="D39" s="7"/>
    </row>
    <row r="40" spans="4:4" x14ac:dyDescent="0.3">
      <c r="D40" s="7"/>
    </row>
    <row r="41" spans="4:4" x14ac:dyDescent="0.3">
      <c r="D41" s="7"/>
    </row>
    <row r="42" spans="4:4" x14ac:dyDescent="0.3">
      <c r="D42" s="7"/>
    </row>
    <row r="43" spans="4:4" x14ac:dyDescent="0.3">
      <c r="D43" s="7"/>
    </row>
    <row r="44" spans="4:4" x14ac:dyDescent="0.3">
      <c r="D44" s="7"/>
    </row>
    <row r="45" spans="4:4" x14ac:dyDescent="0.3">
      <c r="D45" s="7"/>
    </row>
    <row r="46" spans="4:4" x14ac:dyDescent="0.3">
      <c r="D46" s="7"/>
    </row>
    <row r="47" spans="4:4" x14ac:dyDescent="0.3">
      <c r="D47" s="7"/>
    </row>
    <row r="48" spans="4:4" x14ac:dyDescent="0.3">
      <c r="D48" s="7"/>
    </row>
    <row r="49" spans="4:4" x14ac:dyDescent="0.3">
      <c r="D49" s="7"/>
    </row>
    <row r="50" spans="4:4" x14ac:dyDescent="0.3">
      <c r="D50" s="7"/>
    </row>
    <row r="51" spans="4:4" x14ac:dyDescent="0.3">
      <c r="D51" s="7"/>
    </row>
    <row r="52" spans="4:4" x14ac:dyDescent="0.3">
      <c r="D52" s="7"/>
    </row>
    <row r="53" spans="4:4" x14ac:dyDescent="0.3">
      <c r="D53" s="7"/>
    </row>
    <row r="54" spans="4:4" x14ac:dyDescent="0.3">
      <c r="D54" s="7"/>
    </row>
    <row r="55" spans="4:4" x14ac:dyDescent="0.3">
      <c r="D55" s="7"/>
    </row>
    <row r="56" spans="4:4" x14ac:dyDescent="0.3">
      <c r="D56" s="7"/>
    </row>
    <row r="57" spans="4:4" x14ac:dyDescent="0.3">
      <c r="D57" s="7"/>
    </row>
    <row r="58" spans="4:4" x14ac:dyDescent="0.3">
      <c r="D58" s="7"/>
    </row>
    <row r="59" spans="4:4" x14ac:dyDescent="0.3">
      <c r="D59" s="7"/>
    </row>
    <row r="60" spans="4:4" x14ac:dyDescent="0.3">
      <c r="D60" s="7"/>
    </row>
    <row r="61" spans="4:4" x14ac:dyDescent="0.3">
      <c r="D61" s="7"/>
    </row>
    <row r="62" spans="4:4" x14ac:dyDescent="0.3">
      <c r="D62" s="7"/>
    </row>
    <row r="63" spans="4:4" x14ac:dyDescent="0.3">
      <c r="D63" s="7"/>
    </row>
    <row r="64" spans="4:4" x14ac:dyDescent="0.3">
      <c r="D64" s="7"/>
    </row>
    <row r="65" spans="4:4" x14ac:dyDescent="0.3">
      <c r="D65" s="7"/>
    </row>
    <row r="66" spans="4:4" x14ac:dyDescent="0.3">
      <c r="D66" s="7"/>
    </row>
    <row r="67" spans="4:4" x14ac:dyDescent="0.3">
      <c r="D67" s="7"/>
    </row>
    <row r="68" spans="4:4" x14ac:dyDescent="0.3">
      <c r="D68" s="7"/>
    </row>
    <row r="69" spans="4:4" x14ac:dyDescent="0.3">
      <c r="D69" s="7"/>
    </row>
    <row r="70" spans="4:4" x14ac:dyDescent="0.3">
      <c r="D70" s="7"/>
    </row>
    <row r="71" spans="4:4" x14ac:dyDescent="0.3">
      <c r="D71" s="7"/>
    </row>
    <row r="72" spans="4:4" x14ac:dyDescent="0.3">
      <c r="D72" s="7"/>
    </row>
    <row r="73" spans="4:4" x14ac:dyDescent="0.3">
      <c r="D73" s="7"/>
    </row>
    <row r="74" spans="4:4" x14ac:dyDescent="0.3">
      <c r="D74" s="7"/>
    </row>
    <row r="75" spans="4:4" x14ac:dyDescent="0.3">
      <c r="D75" s="7"/>
    </row>
    <row r="76" spans="4:4" x14ac:dyDescent="0.3">
      <c r="D76" s="7"/>
    </row>
    <row r="77" spans="4:4" x14ac:dyDescent="0.3">
      <c r="D77" s="7"/>
    </row>
    <row r="78" spans="4:4" x14ac:dyDescent="0.3">
      <c r="D78" s="7"/>
    </row>
    <row r="79" spans="4:4" x14ac:dyDescent="0.3">
      <c r="D79" s="7"/>
    </row>
    <row r="80" spans="4:4" x14ac:dyDescent="0.3">
      <c r="D80" s="7"/>
    </row>
    <row r="81" spans="4:4" x14ac:dyDescent="0.3">
      <c r="D81" s="7"/>
    </row>
    <row r="82" spans="4:4" x14ac:dyDescent="0.3">
      <c r="D82" s="7"/>
    </row>
    <row r="83" spans="4:4" x14ac:dyDescent="0.3">
      <c r="D83" s="7"/>
    </row>
    <row r="84" spans="4:4" x14ac:dyDescent="0.3">
      <c r="D84" s="7"/>
    </row>
    <row r="85" spans="4:4" x14ac:dyDescent="0.3">
      <c r="D85" s="7"/>
    </row>
    <row r="86" spans="4:4" x14ac:dyDescent="0.3">
      <c r="D86" s="7"/>
    </row>
    <row r="87" spans="4:4" x14ac:dyDescent="0.3">
      <c r="D87" s="7"/>
    </row>
    <row r="88" spans="4:4" x14ac:dyDescent="0.3">
      <c r="D88" s="7"/>
    </row>
    <row r="89" spans="4:4" x14ac:dyDescent="0.3">
      <c r="D89" s="7"/>
    </row>
    <row r="90" spans="4:4" x14ac:dyDescent="0.3">
      <c r="D90" s="7"/>
    </row>
    <row r="91" spans="4:4" x14ac:dyDescent="0.3">
      <c r="D91" s="7"/>
    </row>
    <row r="92" spans="4:4" x14ac:dyDescent="0.3">
      <c r="D92" s="7"/>
    </row>
    <row r="93" spans="4:4" x14ac:dyDescent="0.3">
      <c r="D93" s="7"/>
    </row>
    <row r="94" spans="4:4" x14ac:dyDescent="0.3">
      <c r="D94" s="7"/>
    </row>
    <row r="95" spans="4:4" x14ac:dyDescent="0.3">
      <c r="D95" s="7"/>
    </row>
    <row r="96" spans="4:4" x14ac:dyDescent="0.3">
      <c r="D96" s="7"/>
    </row>
    <row r="97" spans="4:8" x14ac:dyDescent="0.3">
      <c r="D97" s="7"/>
    </row>
    <row r="98" spans="4:8" x14ac:dyDescent="0.3">
      <c r="D98" s="7"/>
    </row>
    <row r="99" spans="4:8" x14ac:dyDescent="0.3">
      <c r="D99" s="7"/>
    </row>
    <row r="100" spans="4:8" x14ac:dyDescent="0.3">
      <c r="D100" s="7"/>
    </row>
    <row r="101" spans="4:8" x14ac:dyDescent="0.3">
      <c r="D101" s="7"/>
    </row>
    <row r="102" spans="4:8" x14ac:dyDescent="0.3">
      <c r="D102" s="7"/>
      <c r="H102" s="8"/>
    </row>
    <row r="103" spans="4:8" x14ac:dyDescent="0.3">
      <c r="D103" s="7"/>
      <c r="H103" s="8"/>
    </row>
    <row r="104" spans="4:8" x14ac:dyDescent="0.3">
      <c r="D104" s="7"/>
      <c r="H104" s="8"/>
    </row>
    <row r="105" spans="4:8" x14ac:dyDescent="0.3">
      <c r="D105" s="7"/>
      <c r="H105" s="8"/>
    </row>
    <row r="106" spans="4:8" x14ac:dyDescent="0.3">
      <c r="D106" s="7"/>
      <c r="H106" s="8"/>
    </row>
    <row r="107" spans="4:8" x14ac:dyDescent="0.3">
      <c r="D107" s="7"/>
      <c r="H107" s="8"/>
    </row>
    <row r="108" spans="4:8" x14ac:dyDescent="0.3">
      <c r="D108" s="7"/>
      <c r="H108" s="8"/>
    </row>
    <row r="109" spans="4:8" x14ac:dyDescent="0.3">
      <c r="D109" s="7"/>
      <c r="H109" s="8"/>
    </row>
    <row r="110" spans="4:8" x14ac:dyDescent="0.3">
      <c r="D110" s="7"/>
      <c r="H110" s="8"/>
    </row>
    <row r="111" spans="4:8" x14ac:dyDescent="0.3">
      <c r="D111" s="7"/>
      <c r="H111" s="8"/>
    </row>
    <row r="112" spans="4:8" x14ac:dyDescent="0.3">
      <c r="D112" s="7"/>
      <c r="H112" s="8"/>
    </row>
    <row r="113" spans="4:8" x14ac:dyDescent="0.3">
      <c r="D113" s="7"/>
      <c r="H113" s="8"/>
    </row>
    <row r="114" spans="4:8" x14ac:dyDescent="0.3">
      <c r="D114" s="7"/>
      <c r="H114" s="8"/>
    </row>
    <row r="115" spans="4:8" x14ac:dyDescent="0.3">
      <c r="D115" s="7"/>
      <c r="H115" s="8"/>
    </row>
    <row r="116" spans="4:8" x14ac:dyDescent="0.3">
      <c r="D116" s="7"/>
      <c r="H116" s="8"/>
    </row>
    <row r="117" spans="4:8" x14ac:dyDescent="0.3">
      <c r="D117" s="7"/>
      <c r="H117" s="8"/>
    </row>
    <row r="118" spans="4:8" x14ac:dyDescent="0.3">
      <c r="D118" s="7"/>
      <c r="H118" s="8"/>
    </row>
    <row r="119" spans="4:8" x14ac:dyDescent="0.3">
      <c r="D119" s="7"/>
      <c r="H119" s="8"/>
    </row>
    <row r="120" spans="4:8" x14ac:dyDescent="0.3">
      <c r="D120" s="7"/>
      <c r="H120" s="8"/>
    </row>
    <row r="121" spans="4:8" x14ac:dyDescent="0.3">
      <c r="D121" s="7"/>
      <c r="H121" s="8"/>
    </row>
    <row r="122" spans="4:8" x14ac:dyDescent="0.3">
      <c r="D122" s="7"/>
      <c r="H122" s="8"/>
    </row>
    <row r="123" spans="4:8" x14ac:dyDescent="0.3">
      <c r="D123" s="7"/>
      <c r="H123" s="8"/>
    </row>
    <row r="124" spans="4:8" x14ac:dyDescent="0.3">
      <c r="D124" s="7"/>
      <c r="H124" s="8"/>
    </row>
    <row r="125" spans="4:8" x14ac:dyDescent="0.3">
      <c r="D125" s="7"/>
      <c r="H125" s="8"/>
    </row>
    <row r="126" spans="4:8" x14ac:dyDescent="0.3">
      <c r="D126" s="7"/>
      <c r="H126" s="8"/>
    </row>
    <row r="127" spans="4:8" x14ac:dyDescent="0.3">
      <c r="D127" s="7"/>
      <c r="H127" s="8"/>
    </row>
    <row r="128" spans="4:8" x14ac:dyDescent="0.3">
      <c r="D128" s="7"/>
      <c r="H128" s="8"/>
    </row>
    <row r="129" spans="4:8" x14ac:dyDescent="0.3">
      <c r="D129" s="7"/>
      <c r="H129" s="8"/>
    </row>
    <row r="130" spans="4:8" x14ac:dyDescent="0.3">
      <c r="D130" s="7"/>
      <c r="H130" s="8"/>
    </row>
    <row r="131" spans="4:8" x14ac:dyDescent="0.3">
      <c r="D131" s="7"/>
      <c r="H131" s="8"/>
    </row>
    <row r="132" spans="4:8" x14ac:dyDescent="0.3">
      <c r="D132" s="7"/>
      <c r="H132" s="8"/>
    </row>
    <row r="133" spans="4:8" x14ac:dyDescent="0.3">
      <c r="D133" s="7"/>
      <c r="H133" s="8"/>
    </row>
    <row r="134" spans="4:8" x14ac:dyDescent="0.3">
      <c r="D134" s="7"/>
      <c r="H134" s="8"/>
    </row>
    <row r="135" spans="4:8" x14ac:dyDescent="0.3">
      <c r="D135" s="7"/>
      <c r="H135" s="8"/>
    </row>
    <row r="136" spans="4:8" x14ac:dyDescent="0.3">
      <c r="D136" s="7"/>
      <c r="H136" s="8"/>
    </row>
    <row r="137" spans="4:8" x14ac:dyDescent="0.3">
      <c r="D137" s="7"/>
      <c r="H137" s="8"/>
    </row>
    <row r="138" spans="4:8" x14ac:dyDescent="0.3">
      <c r="D138" s="7"/>
      <c r="H138" s="8"/>
    </row>
    <row r="139" spans="4:8" x14ac:dyDescent="0.3">
      <c r="D139" s="7"/>
      <c r="H139" s="8"/>
    </row>
    <row r="140" spans="4:8" x14ac:dyDescent="0.3">
      <c r="D140" s="7"/>
      <c r="H140" s="8"/>
    </row>
    <row r="141" spans="4:8" x14ac:dyDescent="0.3">
      <c r="D141" s="7"/>
      <c r="H141" s="8"/>
    </row>
    <row r="142" spans="4:8" x14ac:dyDescent="0.3">
      <c r="D142" s="7"/>
      <c r="H142" s="8"/>
    </row>
    <row r="143" spans="4:8" x14ac:dyDescent="0.3">
      <c r="D143" s="7"/>
      <c r="H143" s="8"/>
    </row>
    <row r="144" spans="4:8" x14ac:dyDescent="0.3">
      <c r="D144" s="7"/>
      <c r="H144" s="8"/>
    </row>
    <row r="145" spans="4:8" x14ac:dyDescent="0.3">
      <c r="D145" s="7"/>
      <c r="H145" s="8"/>
    </row>
    <row r="146" spans="4:8" x14ac:dyDescent="0.3">
      <c r="D146" s="7"/>
      <c r="H146" s="8"/>
    </row>
    <row r="147" spans="4:8" x14ac:dyDescent="0.3">
      <c r="D147" s="7"/>
      <c r="H147" s="8"/>
    </row>
    <row r="148" spans="4:8" x14ac:dyDescent="0.3">
      <c r="D148" s="7"/>
      <c r="H148" s="8"/>
    </row>
    <row r="149" spans="4:8" x14ac:dyDescent="0.3">
      <c r="D149" s="7"/>
      <c r="H149" s="8"/>
    </row>
    <row r="150" spans="4:8" x14ac:dyDescent="0.3">
      <c r="D150" s="7"/>
      <c r="H150" s="8"/>
    </row>
    <row r="151" spans="4:8" x14ac:dyDescent="0.3">
      <c r="D151" s="7"/>
      <c r="H151" s="8"/>
    </row>
    <row r="152" spans="4:8" x14ac:dyDescent="0.3">
      <c r="D152" s="7"/>
      <c r="H152" s="8"/>
    </row>
    <row r="153" spans="4:8" x14ac:dyDescent="0.3">
      <c r="D153" s="7"/>
      <c r="H153" s="8"/>
    </row>
    <row r="154" spans="4:8" x14ac:dyDescent="0.3">
      <c r="D154" s="7"/>
      <c r="H154" s="8"/>
    </row>
    <row r="155" spans="4:8" x14ac:dyDescent="0.3">
      <c r="D155" s="7"/>
      <c r="H155" s="8"/>
    </row>
    <row r="156" spans="4:8" x14ac:dyDescent="0.3">
      <c r="D156" s="7"/>
      <c r="H156" s="8"/>
    </row>
    <row r="157" spans="4:8" x14ac:dyDescent="0.3">
      <c r="D157" s="7"/>
      <c r="H157" s="8"/>
    </row>
    <row r="158" spans="4:8" x14ac:dyDescent="0.3">
      <c r="D158" s="7"/>
      <c r="H158" s="8"/>
    </row>
    <row r="159" spans="4:8" x14ac:dyDescent="0.3">
      <c r="D159" s="7"/>
      <c r="H159" s="8"/>
    </row>
    <row r="160" spans="4:8" x14ac:dyDescent="0.3">
      <c r="D160" s="7"/>
      <c r="H160" s="8"/>
    </row>
    <row r="161" spans="4:8" x14ac:dyDescent="0.3">
      <c r="D161" s="7"/>
      <c r="H161" s="8"/>
    </row>
    <row r="162" spans="4:8" x14ac:dyDescent="0.3">
      <c r="D162" s="7"/>
      <c r="H162" s="8"/>
    </row>
    <row r="163" spans="4:8" x14ac:dyDescent="0.3">
      <c r="D163" s="7"/>
      <c r="H163" s="8"/>
    </row>
    <row r="164" spans="4:8" x14ac:dyDescent="0.3">
      <c r="D164" s="7"/>
      <c r="H164" s="8"/>
    </row>
    <row r="165" spans="4:8" x14ac:dyDescent="0.3">
      <c r="D165" s="7"/>
      <c r="H165" s="8"/>
    </row>
    <row r="166" spans="4:8" x14ac:dyDescent="0.3">
      <c r="D166" s="7"/>
      <c r="H166" s="8"/>
    </row>
    <row r="167" spans="4:8" x14ac:dyDescent="0.3">
      <c r="D167" s="7"/>
      <c r="H167" s="8"/>
    </row>
    <row r="168" spans="4:8" x14ac:dyDescent="0.3">
      <c r="D168" s="7"/>
      <c r="H168" s="8"/>
    </row>
    <row r="169" spans="4:8" x14ac:dyDescent="0.3">
      <c r="D169" s="7"/>
      <c r="H169" s="8"/>
    </row>
    <row r="170" spans="4:8" x14ac:dyDescent="0.3">
      <c r="D170" s="7"/>
      <c r="H170" s="8"/>
    </row>
    <row r="171" spans="4:8" x14ac:dyDescent="0.3">
      <c r="D171" s="7"/>
      <c r="H171" s="8"/>
    </row>
    <row r="172" spans="4:8" x14ac:dyDescent="0.3">
      <c r="D172" s="7"/>
      <c r="H172" s="8"/>
    </row>
    <row r="173" spans="4:8" x14ac:dyDescent="0.3">
      <c r="D173" s="7"/>
      <c r="H173" s="8"/>
    </row>
    <row r="174" spans="4:8" x14ac:dyDescent="0.3">
      <c r="D174" s="7"/>
      <c r="H174" s="8"/>
    </row>
    <row r="175" spans="4:8" x14ac:dyDescent="0.3">
      <c r="D175" s="7"/>
      <c r="H175" s="8"/>
    </row>
    <row r="176" spans="4:8" x14ac:dyDescent="0.3">
      <c r="D176" s="7"/>
      <c r="H176" s="8"/>
    </row>
    <row r="177" spans="4:8" x14ac:dyDescent="0.3">
      <c r="D177" s="7"/>
      <c r="H177" s="8"/>
    </row>
    <row r="178" spans="4:8" x14ac:dyDescent="0.3">
      <c r="D178" s="7"/>
      <c r="H178" s="8"/>
    </row>
    <row r="179" spans="4:8" x14ac:dyDescent="0.3">
      <c r="D179" s="7"/>
      <c r="H179" s="8"/>
    </row>
    <row r="180" spans="4:8" x14ac:dyDescent="0.3">
      <c r="D180" s="7"/>
      <c r="H180" s="8"/>
    </row>
    <row r="181" spans="4:8" x14ac:dyDescent="0.3">
      <c r="D181" s="7"/>
      <c r="H181" s="8"/>
    </row>
    <row r="182" spans="4:8" x14ac:dyDescent="0.3">
      <c r="D182" s="7"/>
      <c r="H182" s="8"/>
    </row>
    <row r="183" spans="4:8" x14ac:dyDescent="0.3">
      <c r="D183" s="7"/>
      <c r="H183" s="8"/>
    </row>
    <row r="184" spans="4:8" x14ac:dyDescent="0.3">
      <c r="D184" s="7"/>
      <c r="H184" s="8"/>
    </row>
    <row r="185" spans="4:8" x14ac:dyDescent="0.3">
      <c r="D185" s="7"/>
      <c r="H185" s="8"/>
    </row>
    <row r="186" spans="4:8" x14ac:dyDescent="0.3">
      <c r="D186" s="7"/>
      <c r="H186" s="8"/>
    </row>
    <row r="187" spans="4:8" x14ac:dyDescent="0.3">
      <c r="D187" s="7"/>
      <c r="H187" s="8"/>
    </row>
    <row r="188" spans="4:8" x14ac:dyDescent="0.3">
      <c r="D188" s="7"/>
      <c r="H188" s="8"/>
    </row>
    <row r="189" spans="4:8" x14ac:dyDescent="0.3">
      <c r="D189" s="7"/>
      <c r="H189" s="8"/>
    </row>
    <row r="190" spans="4:8" x14ac:dyDescent="0.3">
      <c r="D190" s="7"/>
      <c r="H190" s="8"/>
    </row>
    <row r="191" spans="4:8" x14ac:dyDescent="0.3">
      <c r="D191" s="7"/>
      <c r="H191" s="8"/>
    </row>
    <row r="192" spans="4:8" x14ac:dyDescent="0.3">
      <c r="D192" s="7"/>
      <c r="H192" s="8"/>
    </row>
    <row r="193" spans="4:8" x14ac:dyDescent="0.3">
      <c r="D193" s="7"/>
      <c r="H193" s="8"/>
    </row>
    <row r="194" spans="4:8" x14ac:dyDescent="0.3">
      <c r="D194" s="7"/>
      <c r="H194" s="8"/>
    </row>
    <row r="195" spans="4:8" x14ac:dyDescent="0.3">
      <c r="D195" s="7"/>
      <c r="H195" s="8"/>
    </row>
    <row r="196" spans="4:8" x14ac:dyDescent="0.3">
      <c r="D196" s="7"/>
      <c r="H196" s="8"/>
    </row>
    <row r="197" spans="4:8" x14ac:dyDescent="0.3">
      <c r="D197" s="7"/>
      <c r="H197" s="8"/>
    </row>
    <row r="198" spans="4:8" x14ac:dyDescent="0.3">
      <c r="D198" s="7"/>
      <c r="H198" s="8"/>
    </row>
  </sheetData>
  <dataValidations count="1">
    <dataValidation allowBlank="1" showInputMessage="1" showErrorMessage="1" sqref="A1:F1048576" xr:uid="{F6D28621-D0B0-433D-8630-6B973B452313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DB68-3747-47D0-9AF2-85AC865831CE}">
  <dimension ref="A1:H196"/>
  <sheetViews>
    <sheetView zoomScale="160" zoomScaleNormal="160" workbookViewId="0">
      <pane ySplit="1" topLeftCell="A2" activePane="bottomLeft" state="frozen"/>
      <selection pane="bottomLeft" activeCell="A16" sqref="A16"/>
    </sheetView>
  </sheetViews>
  <sheetFormatPr baseColWidth="10" defaultColWidth="8.88671875" defaultRowHeight="14.4" x14ac:dyDescent="0.3"/>
  <cols>
    <col min="1" max="2" width="33.88671875" customWidth="1"/>
    <col min="3" max="3" width="29.6640625" customWidth="1"/>
    <col min="4" max="4" width="72.44140625" customWidth="1"/>
    <col min="5" max="5" width="11.109375" bestFit="1" customWidth="1"/>
    <col min="6" max="6" width="6.109375" bestFit="1" customWidth="1"/>
  </cols>
  <sheetData>
    <row r="1" spans="1:6" x14ac:dyDescent="0.3">
      <c r="A1" s="1" t="s">
        <v>41</v>
      </c>
      <c r="B1" s="1" t="s">
        <v>0</v>
      </c>
      <c r="C1" s="1" t="s">
        <v>42</v>
      </c>
      <c r="D1" s="1" t="s">
        <v>1</v>
      </c>
      <c r="E1" s="1" t="s">
        <v>39</v>
      </c>
      <c r="F1" s="1" t="s">
        <v>3</v>
      </c>
    </row>
    <row r="2" spans="1:6" x14ac:dyDescent="0.3">
      <c r="A2" t="s">
        <v>60</v>
      </c>
      <c r="C2" t="s">
        <v>61</v>
      </c>
      <c r="D2" t="e">
        <f>IF(A2="","",_xlfn.CONCAT(E2,"-",A2,"-",_xlfn.XLOOKUP(C2,Categories!$B$2:$B$989,Categories!$B$2:$B$989)))</f>
        <v>#N/A</v>
      </c>
      <c r="E2" t="s">
        <v>35</v>
      </c>
      <c r="F2">
        <v>2</v>
      </c>
    </row>
    <row r="3" spans="1:6" x14ac:dyDescent="0.3">
      <c r="A3" t="s">
        <v>62</v>
      </c>
      <c r="C3" t="s">
        <v>61</v>
      </c>
      <c r="D3" t="e">
        <f>IF(A3="","",_xlfn.CONCAT(E3,"-",A3,"-",_xlfn.XLOOKUP(C3,Categories!$B$2:$B$989,Categories!$B$2:$B$989)))</f>
        <v>#N/A</v>
      </c>
      <c r="E3" t="s">
        <v>35</v>
      </c>
      <c r="F3">
        <v>3</v>
      </c>
    </row>
    <row r="4" spans="1:6" x14ac:dyDescent="0.3">
      <c r="A4" t="s">
        <v>25</v>
      </c>
      <c r="C4" t="s">
        <v>61</v>
      </c>
      <c r="D4" t="e">
        <f>IF(A4="","",_xlfn.CONCAT(E4,"-",A4,"-",_xlfn.XLOOKUP(C4,Categories!$B$2:$B$989,Categories!$B$2:$B$989)))</f>
        <v>#N/A</v>
      </c>
      <c r="E4" t="s">
        <v>35</v>
      </c>
      <c r="F4">
        <v>4</v>
      </c>
    </row>
    <row r="5" spans="1:6" x14ac:dyDescent="0.3">
      <c r="A5" t="s">
        <v>63</v>
      </c>
      <c r="C5" t="s">
        <v>56</v>
      </c>
      <c r="D5" t="e">
        <f>IF(A5="","",_xlfn.CONCAT(E5,"-",A5,"-",_xlfn.XLOOKUP(C5,Categories!$B$2:$B$989,Categories!$B$2:$B$989)))</f>
        <v>#N/A</v>
      </c>
      <c r="E5" t="s">
        <v>35</v>
      </c>
      <c r="F5">
        <v>5</v>
      </c>
    </row>
    <row r="6" spans="1:6" x14ac:dyDescent="0.3">
      <c r="A6" t="s">
        <v>64</v>
      </c>
      <c r="C6" t="s">
        <v>56</v>
      </c>
      <c r="D6" t="e">
        <f>IF(A6="","",_xlfn.CONCAT(E6,"-",A6,"-",_xlfn.XLOOKUP(C6,Categories!$B$2:$B$989,Categories!$B$2:$B$989)))</f>
        <v>#N/A</v>
      </c>
      <c r="E6" t="s">
        <v>35</v>
      </c>
      <c r="F6">
        <v>6</v>
      </c>
    </row>
    <row r="7" spans="1:6" x14ac:dyDescent="0.3">
      <c r="A7" t="s">
        <v>32</v>
      </c>
      <c r="C7" t="s">
        <v>56</v>
      </c>
      <c r="D7" t="e">
        <f>IF(A7="","",_xlfn.CONCAT(E7,"-",A7,"-",_xlfn.XLOOKUP(C7,Categories!$B$2:$B$989,Categories!$B$2:$B$989)))</f>
        <v>#N/A</v>
      </c>
      <c r="E7" t="s">
        <v>35</v>
      </c>
      <c r="F7">
        <v>7</v>
      </c>
    </row>
    <row r="9" spans="1:6" x14ac:dyDescent="0.3">
      <c r="D9" s="7"/>
    </row>
    <row r="10" spans="1:6" x14ac:dyDescent="0.3">
      <c r="D10" s="7"/>
    </row>
    <row r="11" spans="1:6" x14ac:dyDescent="0.3">
      <c r="D11" s="7"/>
    </row>
    <row r="12" spans="1:6" x14ac:dyDescent="0.3">
      <c r="D12" s="7"/>
    </row>
    <row r="13" spans="1:6" x14ac:dyDescent="0.3">
      <c r="D13" s="7"/>
    </row>
    <row r="14" spans="1:6" x14ac:dyDescent="0.3">
      <c r="D14" s="7"/>
    </row>
    <row r="15" spans="1:6" x14ac:dyDescent="0.3">
      <c r="D15" s="7"/>
    </row>
    <row r="16" spans="1:6" x14ac:dyDescent="0.3">
      <c r="D16" s="7"/>
    </row>
    <row r="17" spans="4:4" x14ac:dyDescent="0.3">
      <c r="D17" s="7"/>
    </row>
    <row r="18" spans="4:4" x14ac:dyDescent="0.3">
      <c r="D18" s="7"/>
    </row>
    <row r="19" spans="4:4" x14ac:dyDescent="0.3">
      <c r="D19" s="7"/>
    </row>
    <row r="20" spans="4:4" x14ac:dyDescent="0.3">
      <c r="D20" s="7"/>
    </row>
    <row r="21" spans="4:4" x14ac:dyDescent="0.3">
      <c r="D21" s="7"/>
    </row>
    <row r="22" spans="4:4" x14ac:dyDescent="0.3">
      <c r="D22" s="7"/>
    </row>
    <row r="23" spans="4:4" x14ac:dyDescent="0.3">
      <c r="D23" s="7"/>
    </row>
    <row r="24" spans="4:4" x14ac:dyDescent="0.3">
      <c r="D24" s="7"/>
    </row>
    <row r="25" spans="4:4" x14ac:dyDescent="0.3">
      <c r="D25" s="7"/>
    </row>
    <row r="26" spans="4:4" x14ac:dyDescent="0.3">
      <c r="D26" s="7"/>
    </row>
    <row r="27" spans="4:4" x14ac:dyDescent="0.3">
      <c r="D27" s="7"/>
    </row>
    <row r="28" spans="4:4" x14ac:dyDescent="0.3">
      <c r="D28" s="7"/>
    </row>
    <row r="29" spans="4:4" x14ac:dyDescent="0.3">
      <c r="D29" s="7"/>
    </row>
    <row r="30" spans="4:4" x14ac:dyDescent="0.3">
      <c r="D30" s="7"/>
    </row>
    <row r="31" spans="4:4" x14ac:dyDescent="0.3">
      <c r="D31" s="7"/>
    </row>
    <row r="32" spans="4:4" x14ac:dyDescent="0.3">
      <c r="D32" s="7"/>
    </row>
    <row r="33" spans="4:4" x14ac:dyDescent="0.3">
      <c r="D33" s="7"/>
    </row>
    <row r="34" spans="4:4" x14ac:dyDescent="0.3">
      <c r="D34" s="7"/>
    </row>
    <row r="35" spans="4:4" x14ac:dyDescent="0.3">
      <c r="D35" s="7"/>
    </row>
    <row r="36" spans="4:4" x14ac:dyDescent="0.3">
      <c r="D36" s="7"/>
    </row>
    <row r="37" spans="4:4" x14ac:dyDescent="0.3">
      <c r="D37" s="7"/>
    </row>
    <row r="38" spans="4:4" x14ac:dyDescent="0.3">
      <c r="D38" s="7"/>
    </row>
    <row r="39" spans="4:4" x14ac:dyDescent="0.3">
      <c r="D39" s="7"/>
    </row>
    <row r="40" spans="4:4" x14ac:dyDescent="0.3">
      <c r="D40" s="7"/>
    </row>
    <row r="41" spans="4:4" x14ac:dyDescent="0.3">
      <c r="D41" s="7"/>
    </row>
    <row r="42" spans="4:4" x14ac:dyDescent="0.3">
      <c r="D42" s="7"/>
    </row>
    <row r="43" spans="4:4" x14ac:dyDescent="0.3">
      <c r="D43" s="7"/>
    </row>
    <row r="44" spans="4:4" x14ac:dyDescent="0.3">
      <c r="D44" s="7"/>
    </row>
    <row r="45" spans="4:4" x14ac:dyDescent="0.3">
      <c r="D45" s="7"/>
    </row>
    <row r="46" spans="4:4" x14ac:dyDescent="0.3">
      <c r="D46" s="7"/>
    </row>
    <row r="47" spans="4:4" x14ac:dyDescent="0.3">
      <c r="D47" s="7"/>
    </row>
    <row r="48" spans="4:4" x14ac:dyDescent="0.3">
      <c r="D48" s="7"/>
    </row>
    <row r="49" spans="4:4" x14ac:dyDescent="0.3">
      <c r="D49" s="7"/>
    </row>
    <row r="50" spans="4:4" x14ac:dyDescent="0.3">
      <c r="D50" s="7"/>
    </row>
    <row r="51" spans="4:4" x14ac:dyDescent="0.3">
      <c r="D51" s="7"/>
    </row>
    <row r="52" spans="4:4" x14ac:dyDescent="0.3">
      <c r="D52" s="7"/>
    </row>
    <row r="53" spans="4:4" x14ac:dyDescent="0.3">
      <c r="D53" s="7"/>
    </row>
    <row r="54" spans="4:4" x14ac:dyDescent="0.3">
      <c r="D54" s="7"/>
    </row>
    <row r="55" spans="4:4" x14ac:dyDescent="0.3">
      <c r="D55" s="7"/>
    </row>
    <row r="56" spans="4:4" x14ac:dyDescent="0.3">
      <c r="D56" s="7"/>
    </row>
    <row r="57" spans="4:4" x14ac:dyDescent="0.3">
      <c r="D57" s="7"/>
    </row>
    <row r="58" spans="4:4" x14ac:dyDescent="0.3">
      <c r="D58" s="7"/>
    </row>
    <row r="59" spans="4:4" x14ac:dyDescent="0.3">
      <c r="D59" s="7"/>
    </row>
    <row r="60" spans="4:4" x14ac:dyDescent="0.3">
      <c r="D60" s="7"/>
    </row>
    <row r="61" spans="4:4" x14ac:dyDescent="0.3">
      <c r="D61" s="7"/>
    </row>
    <row r="62" spans="4:4" x14ac:dyDescent="0.3">
      <c r="D62" s="7"/>
    </row>
    <row r="63" spans="4:4" x14ac:dyDescent="0.3">
      <c r="D63" s="7"/>
    </row>
    <row r="64" spans="4:4" x14ac:dyDescent="0.3">
      <c r="D64" s="7"/>
    </row>
    <row r="65" spans="4:4" x14ac:dyDescent="0.3">
      <c r="D65" s="7"/>
    </row>
    <row r="66" spans="4:4" x14ac:dyDescent="0.3">
      <c r="D66" s="7"/>
    </row>
    <row r="67" spans="4:4" x14ac:dyDescent="0.3">
      <c r="D67" s="7"/>
    </row>
    <row r="68" spans="4:4" x14ac:dyDescent="0.3">
      <c r="D68" s="7"/>
    </row>
    <row r="69" spans="4:4" x14ac:dyDescent="0.3">
      <c r="D69" s="7"/>
    </row>
    <row r="70" spans="4:4" x14ac:dyDescent="0.3">
      <c r="D70" s="7"/>
    </row>
    <row r="71" spans="4:4" x14ac:dyDescent="0.3">
      <c r="D71" s="7"/>
    </row>
    <row r="72" spans="4:4" x14ac:dyDescent="0.3">
      <c r="D72" s="7"/>
    </row>
    <row r="73" spans="4:4" x14ac:dyDescent="0.3">
      <c r="D73" s="7"/>
    </row>
    <row r="74" spans="4:4" x14ac:dyDescent="0.3">
      <c r="D74" s="7"/>
    </row>
    <row r="75" spans="4:4" x14ac:dyDescent="0.3">
      <c r="D75" s="7"/>
    </row>
    <row r="76" spans="4:4" x14ac:dyDescent="0.3">
      <c r="D76" s="7"/>
    </row>
    <row r="77" spans="4:4" x14ac:dyDescent="0.3">
      <c r="D77" s="7"/>
    </row>
    <row r="78" spans="4:4" x14ac:dyDescent="0.3">
      <c r="D78" s="7"/>
    </row>
    <row r="79" spans="4:4" x14ac:dyDescent="0.3">
      <c r="D79" s="7"/>
    </row>
    <row r="80" spans="4:4" x14ac:dyDescent="0.3">
      <c r="D80" s="7"/>
    </row>
    <row r="81" spans="4:4" x14ac:dyDescent="0.3">
      <c r="D81" s="7"/>
    </row>
    <row r="82" spans="4:4" x14ac:dyDescent="0.3">
      <c r="D82" s="7"/>
    </row>
    <row r="83" spans="4:4" x14ac:dyDescent="0.3">
      <c r="D83" s="7"/>
    </row>
    <row r="84" spans="4:4" x14ac:dyDescent="0.3">
      <c r="D84" s="7"/>
    </row>
    <row r="85" spans="4:4" x14ac:dyDescent="0.3">
      <c r="D85" s="7"/>
    </row>
    <row r="86" spans="4:4" x14ac:dyDescent="0.3">
      <c r="D86" s="7"/>
    </row>
    <row r="87" spans="4:4" x14ac:dyDescent="0.3">
      <c r="D87" s="7"/>
    </row>
    <row r="88" spans="4:4" x14ac:dyDescent="0.3">
      <c r="D88" s="7"/>
    </row>
    <row r="89" spans="4:4" x14ac:dyDescent="0.3">
      <c r="D89" s="7"/>
    </row>
    <row r="90" spans="4:4" x14ac:dyDescent="0.3">
      <c r="D90" s="7"/>
    </row>
    <row r="91" spans="4:4" x14ac:dyDescent="0.3">
      <c r="D91" s="7"/>
    </row>
    <row r="92" spans="4:4" x14ac:dyDescent="0.3">
      <c r="D92" s="7"/>
    </row>
    <row r="93" spans="4:4" x14ac:dyDescent="0.3">
      <c r="D93" s="7"/>
    </row>
    <row r="94" spans="4:4" x14ac:dyDescent="0.3">
      <c r="D94" s="7"/>
    </row>
    <row r="95" spans="4:4" x14ac:dyDescent="0.3">
      <c r="D95" s="7"/>
    </row>
    <row r="96" spans="4:4" x14ac:dyDescent="0.3">
      <c r="D96" s="7"/>
    </row>
    <row r="97" spans="4:8" x14ac:dyDescent="0.3">
      <c r="D97" s="7"/>
    </row>
    <row r="98" spans="4:8" x14ac:dyDescent="0.3">
      <c r="D98" s="7"/>
    </row>
    <row r="99" spans="4:8" x14ac:dyDescent="0.3">
      <c r="D99" s="7"/>
    </row>
    <row r="100" spans="4:8" x14ac:dyDescent="0.3">
      <c r="D100" s="7"/>
      <c r="H100" s="8"/>
    </row>
    <row r="101" spans="4:8" x14ac:dyDescent="0.3">
      <c r="D101" s="7"/>
      <c r="H101" s="8"/>
    </row>
    <row r="102" spans="4:8" x14ac:dyDescent="0.3">
      <c r="D102" s="7"/>
      <c r="H102" s="8"/>
    </row>
    <row r="103" spans="4:8" x14ac:dyDescent="0.3">
      <c r="D103" s="7"/>
      <c r="H103" s="8"/>
    </row>
    <row r="104" spans="4:8" x14ac:dyDescent="0.3">
      <c r="D104" s="7"/>
      <c r="H104" s="8"/>
    </row>
    <row r="105" spans="4:8" x14ac:dyDescent="0.3">
      <c r="D105" s="7"/>
      <c r="H105" s="8"/>
    </row>
    <row r="106" spans="4:8" x14ac:dyDescent="0.3">
      <c r="D106" s="7"/>
      <c r="H106" s="8"/>
    </row>
    <row r="107" spans="4:8" x14ac:dyDescent="0.3">
      <c r="D107" s="7"/>
      <c r="H107" s="8"/>
    </row>
    <row r="108" spans="4:8" x14ac:dyDescent="0.3">
      <c r="D108" s="7"/>
      <c r="H108" s="8"/>
    </row>
    <row r="109" spans="4:8" x14ac:dyDescent="0.3">
      <c r="D109" s="7"/>
      <c r="H109" s="8"/>
    </row>
    <row r="110" spans="4:8" x14ac:dyDescent="0.3">
      <c r="D110" s="7"/>
      <c r="H110" s="8"/>
    </row>
    <row r="111" spans="4:8" x14ac:dyDescent="0.3">
      <c r="D111" s="7"/>
      <c r="H111" s="8"/>
    </row>
    <row r="112" spans="4:8" x14ac:dyDescent="0.3">
      <c r="D112" s="7"/>
      <c r="H112" s="8"/>
    </row>
    <row r="113" spans="4:8" x14ac:dyDescent="0.3">
      <c r="D113" s="7"/>
      <c r="H113" s="8"/>
    </row>
    <row r="114" spans="4:8" x14ac:dyDescent="0.3">
      <c r="D114" s="7"/>
      <c r="H114" s="8"/>
    </row>
    <row r="115" spans="4:8" x14ac:dyDescent="0.3">
      <c r="D115" s="7"/>
      <c r="H115" s="8"/>
    </row>
    <row r="116" spans="4:8" x14ac:dyDescent="0.3">
      <c r="D116" s="7"/>
      <c r="H116" s="8"/>
    </row>
    <row r="117" spans="4:8" x14ac:dyDescent="0.3">
      <c r="D117" s="7"/>
      <c r="H117" s="8"/>
    </row>
    <row r="118" spans="4:8" x14ac:dyDescent="0.3">
      <c r="D118" s="7"/>
      <c r="H118" s="8"/>
    </row>
    <row r="119" spans="4:8" x14ac:dyDescent="0.3">
      <c r="D119" s="7"/>
      <c r="H119" s="8"/>
    </row>
    <row r="120" spans="4:8" x14ac:dyDescent="0.3">
      <c r="D120" s="7"/>
      <c r="H120" s="8"/>
    </row>
    <row r="121" spans="4:8" x14ac:dyDescent="0.3">
      <c r="D121" s="7"/>
      <c r="H121" s="8"/>
    </row>
    <row r="122" spans="4:8" x14ac:dyDescent="0.3">
      <c r="D122" s="7"/>
      <c r="H122" s="8"/>
    </row>
    <row r="123" spans="4:8" x14ac:dyDescent="0.3">
      <c r="D123" s="7"/>
      <c r="H123" s="8"/>
    </row>
    <row r="124" spans="4:8" x14ac:dyDescent="0.3">
      <c r="D124" s="7"/>
      <c r="H124" s="8"/>
    </row>
    <row r="125" spans="4:8" x14ac:dyDescent="0.3">
      <c r="D125" s="7"/>
      <c r="H125" s="8"/>
    </row>
    <row r="126" spans="4:8" x14ac:dyDescent="0.3">
      <c r="D126" s="7"/>
      <c r="H126" s="8"/>
    </row>
    <row r="127" spans="4:8" x14ac:dyDescent="0.3">
      <c r="D127" s="7"/>
      <c r="H127" s="8"/>
    </row>
    <row r="128" spans="4:8" x14ac:dyDescent="0.3">
      <c r="D128" s="7"/>
      <c r="H128" s="8"/>
    </row>
    <row r="129" spans="4:8" x14ac:dyDescent="0.3">
      <c r="D129" s="7"/>
      <c r="H129" s="8"/>
    </row>
    <row r="130" spans="4:8" x14ac:dyDescent="0.3">
      <c r="D130" s="7"/>
      <c r="H130" s="8"/>
    </row>
    <row r="131" spans="4:8" x14ac:dyDescent="0.3">
      <c r="D131" s="7"/>
      <c r="H131" s="8"/>
    </row>
    <row r="132" spans="4:8" x14ac:dyDescent="0.3">
      <c r="D132" s="7"/>
      <c r="H132" s="8"/>
    </row>
    <row r="133" spans="4:8" x14ac:dyDescent="0.3">
      <c r="D133" s="7"/>
      <c r="H133" s="8"/>
    </row>
    <row r="134" spans="4:8" x14ac:dyDescent="0.3">
      <c r="D134" s="7"/>
      <c r="H134" s="8"/>
    </row>
    <row r="135" spans="4:8" x14ac:dyDescent="0.3">
      <c r="D135" s="7"/>
      <c r="H135" s="8"/>
    </row>
    <row r="136" spans="4:8" x14ac:dyDescent="0.3">
      <c r="D136" s="7"/>
      <c r="H136" s="8"/>
    </row>
    <row r="137" spans="4:8" x14ac:dyDescent="0.3">
      <c r="D137" s="7"/>
      <c r="H137" s="8"/>
    </row>
    <row r="138" spans="4:8" x14ac:dyDescent="0.3">
      <c r="D138" s="7"/>
      <c r="H138" s="8"/>
    </row>
    <row r="139" spans="4:8" x14ac:dyDescent="0.3">
      <c r="D139" s="7"/>
      <c r="H139" s="8"/>
    </row>
    <row r="140" spans="4:8" x14ac:dyDescent="0.3">
      <c r="D140" s="7"/>
      <c r="H140" s="8"/>
    </row>
    <row r="141" spans="4:8" x14ac:dyDescent="0.3">
      <c r="D141" s="7"/>
      <c r="H141" s="8"/>
    </row>
    <row r="142" spans="4:8" x14ac:dyDescent="0.3">
      <c r="D142" s="7"/>
      <c r="H142" s="8"/>
    </row>
    <row r="143" spans="4:8" x14ac:dyDescent="0.3">
      <c r="D143" s="7"/>
      <c r="H143" s="8"/>
    </row>
    <row r="144" spans="4:8" x14ac:dyDescent="0.3">
      <c r="D144" s="7"/>
      <c r="H144" s="8"/>
    </row>
    <row r="145" spans="4:8" x14ac:dyDescent="0.3">
      <c r="D145" s="7"/>
      <c r="H145" s="8"/>
    </row>
    <row r="146" spans="4:8" x14ac:dyDescent="0.3">
      <c r="D146" s="7"/>
      <c r="H146" s="8"/>
    </row>
    <row r="147" spans="4:8" x14ac:dyDescent="0.3">
      <c r="D147" s="7"/>
      <c r="H147" s="8"/>
    </row>
    <row r="148" spans="4:8" x14ac:dyDescent="0.3">
      <c r="D148" s="7"/>
      <c r="H148" s="8"/>
    </row>
    <row r="149" spans="4:8" x14ac:dyDescent="0.3">
      <c r="D149" s="7"/>
      <c r="H149" s="8"/>
    </row>
    <row r="150" spans="4:8" x14ac:dyDescent="0.3">
      <c r="D150" s="7"/>
      <c r="H150" s="8"/>
    </row>
    <row r="151" spans="4:8" x14ac:dyDescent="0.3">
      <c r="D151" s="7"/>
      <c r="H151" s="8"/>
    </row>
    <row r="152" spans="4:8" x14ac:dyDescent="0.3">
      <c r="D152" s="7"/>
      <c r="H152" s="8"/>
    </row>
    <row r="153" spans="4:8" x14ac:dyDescent="0.3">
      <c r="D153" s="7"/>
      <c r="H153" s="8"/>
    </row>
    <row r="154" spans="4:8" x14ac:dyDescent="0.3">
      <c r="D154" s="7"/>
      <c r="H154" s="8"/>
    </row>
    <row r="155" spans="4:8" x14ac:dyDescent="0.3">
      <c r="D155" s="7"/>
      <c r="H155" s="8"/>
    </row>
    <row r="156" spans="4:8" x14ac:dyDescent="0.3">
      <c r="D156" s="7"/>
      <c r="H156" s="8"/>
    </row>
    <row r="157" spans="4:8" x14ac:dyDescent="0.3">
      <c r="D157" s="7"/>
      <c r="H157" s="8"/>
    </row>
    <row r="158" spans="4:8" x14ac:dyDescent="0.3">
      <c r="D158" s="7"/>
      <c r="H158" s="8"/>
    </row>
    <row r="159" spans="4:8" x14ac:dyDescent="0.3">
      <c r="D159" s="7"/>
      <c r="H159" s="8"/>
    </row>
    <row r="160" spans="4:8" x14ac:dyDescent="0.3">
      <c r="D160" s="7"/>
      <c r="H160" s="8"/>
    </row>
    <row r="161" spans="4:8" x14ac:dyDescent="0.3">
      <c r="D161" s="7"/>
      <c r="H161" s="8"/>
    </row>
    <row r="162" spans="4:8" x14ac:dyDescent="0.3">
      <c r="D162" s="7"/>
      <c r="H162" s="8"/>
    </row>
    <row r="163" spans="4:8" x14ac:dyDescent="0.3">
      <c r="D163" s="7"/>
      <c r="H163" s="8"/>
    </row>
    <row r="164" spans="4:8" x14ac:dyDescent="0.3">
      <c r="D164" s="7"/>
      <c r="H164" s="8"/>
    </row>
    <row r="165" spans="4:8" x14ac:dyDescent="0.3">
      <c r="D165" s="7"/>
      <c r="H165" s="8"/>
    </row>
    <row r="166" spans="4:8" x14ac:dyDescent="0.3">
      <c r="D166" s="7"/>
      <c r="H166" s="8"/>
    </row>
    <row r="167" spans="4:8" x14ac:dyDescent="0.3">
      <c r="D167" s="7"/>
      <c r="H167" s="8"/>
    </row>
    <row r="168" spans="4:8" x14ac:dyDescent="0.3">
      <c r="D168" s="7"/>
      <c r="H168" s="8"/>
    </row>
    <row r="169" spans="4:8" x14ac:dyDescent="0.3">
      <c r="D169" s="7"/>
      <c r="H169" s="8"/>
    </row>
    <row r="170" spans="4:8" x14ac:dyDescent="0.3">
      <c r="D170" s="7"/>
      <c r="H170" s="8"/>
    </row>
    <row r="171" spans="4:8" x14ac:dyDescent="0.3">
      <c r="D171" s="7"/>
      <c r="H171" s="8"/>
    </row>
    <row r="172" spans="4:8" x14ac:dyDescent="0.3">
      <c r="D172" s="7"/>
      <c r="H172" s="8"/>
    </row>
    <row r="173" spans="4:8" x14ac:dyDescent="0.3">
      <c r="D173" s="7"/>
      <c r="H173" s="8"/>
    </row>
    <row r="174" spans="4:8" x14ac:dyDescent="0.3">
      <c r="D174" s="7"/>
      <c r="H174" s="8"/>
    </row>
    <row r="175" spans="4:8" x14ac:dyDescent="0.3">
      <c r="D175" s="7"/>
      <c r="H175" s="8"/>
    </row>
    <row r="176" spans="4:8" x14ac:dyDescent="0.3">
      <c r="D176" s="7"/>
      <c r="H176" s="8"/>
    </row>
    <row r="177" spans="4:8" x14ac:dyDescent="0.3">
      <c r="D177" s="7"/>
      <c r="H177" s="8"/>
    </row>
    <row r="178" spans="4:8" x14ac:dyDescent="0.3">
      <c r="D178" s="7"/>
      <c r="H178" s="8"/>
    </row>
    <row r="179" spans="4:8" x14ac:dyDescent="0.3">
      <c r="D179" s="7"/>
      <c r="H179" s="8"/>
    </row>
    <row r="180" spans="4:8" x14ac:dyDescent="0.3">
      <c r="D180" s="7"/>
      <c r="H180" s="8"/>
    </row>
    <row r="181" spans="4:8" x14ac:dyDescent="0.3">
      <c r="D181" s="7"/>
      <c r="H181" s="8"/>
    </row>
    <row r="182" spans="4:8" x14ac:dyDescent="0.3">
      <c r="D182" s="7"/>
      <c r="H182" s="8"/>
    </row>
    <row r="183" spans="4:8" x14ac:dyDescent="0.3">
      <c r="D183" s="7"/>
      <c r="H183" s="8"/>
    </row>
    <row r="184" spans="4:8" x14ac:dyDescent="0.3">
      <c r="D184" s="7"/>
      <c r="H184" s="8"/>
    </row>
    <row r="185" spans="4:8" x14ac:dyDescent="0.3">
      <c r="D185" s="7"/>
      <c r="H185" s="8"/>
    </row>
    <row r="186" spans="4:8" x14ac:dyDescent="0.3">
      <c r="D186" s="7"/>
      <c r="H186" s="8"/>
    </row>
    <row r="187" spans="4:8" x14ac:dyDescent="0.3">
      <c r="D187" s="7"/>
      <c r="H187" s="8"/>
    </row>
    <row r="188" spans="4:8" x14ac:dyDescent="0.3">
      <c r="D188" s="7"/>
      <c r="H188" s="8"/>
    </row>
    <row r="189" spans="4:8" x14ac:dyDescent="0.3">
      <c r="D189" s="7"/>
      <c r="H189" s="8"/>
    </row>
    <row r="190" spans="4:8" x14ac:dyDescent="0.3">
      <c r="D190" s="7"/>
      <c r="H190" s="8"/>
    </row>
    <row r="191" spans="4:8" x14ac:dyDescent="0.3">
      <c r="D191" s="7"/>
      <c r="H191" s="8"/>
    </row>
    <row r="192" spans="4:8" x14ac:dyDescent="0.3">
      <c r="D192" s="7"/>
      <c r="H192" s="8"/>
    </row>
    <row r="193" spans="4:8" x14ac:dyDescent="0.3">
      <c r="D193" s="7"/>
      <c r="H193" s="8"/>
    </row>
    <row r="194" spans="4:8" x14ac:dyDescent="0.3">
      <c r="D194" s="7"/>
      <c r="H194" s="8"/>
    </row>
    <row r="195" spans="4:8" x14ac:dyDescent="0.3">
      <c r="D195" s="7"/>
      <c r="H195" s="8"/>
    </row>
    <row r="196" spans="4:8" x14ac:dyDescent="0.3">
      <c r="D196" s="7"/>
      <c r="H196" s="8"/>
    </row>
  </sheetData>
  <dataValidations count="1">
    <dataValidation allowBlank="1" showInputMessage="1" showErrorMessage="1" sqref="E1 E197:E1048576" xr:uid="{0DD74BD4-F50A-42DE-8DE7-0B2BF95F5EF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080D18E-B0E1-48AF-AFEC-771BAE1FAB54}">
          <x14:formula1>
            <xm:f>Domains!$B$2:$B$4</xm:f>
          </x14:formula1>
          <xm:sqref>E8 E100:E196</xm:sqref>
        </x14:dataValidation>
        <x14:dataValidation type="list" allowBlank="1" showInputMessage="1" showErrorMessage="1" xr:uid="{CE03DD14-7087-4725-B9E2-B022EFE44684}">
          <x14:formula1>
            <xm:f>Domains!$B$2:$B$3</xm:f>
          </x14:formula1>
          <xm:sqref>E9:E99 E2:E7</xm:sqref>
        </x14:dataValidation>
        <x14:dataValidation type="list" allowBlank="1" showInputMessage="1" showErrorMessage="1" xr:uid="{E36BFEAB-ECB3-452E-8EBD-83F3FECE8490}">
          <x14:formula1>
            <xm:f>Templates!$B$2:$B$43</xm:f>
          </x14:formula1>
          <xm:sqref>A2:A196</xm:sqref>
        </x14:dataValidation>
        <x14:dataValidation type="list" allowBlank="1" showInputMessage="1" showErrorMessage="1" xr:uid="{518F34AB-3100-4BD5-A3D6-0537F9E60C33}">
          <x14:formula1>
            <xm:f>Categories!$B$2:$B$40</xm:f>
          </x14:formula1>
          <xm:sqref>C2:C196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C7C0-AACA-45E5-BFA3-D9C7AF0A1AAB}">
  <sheetPr codeName="Feuil5"/>
  <dimension ref="A1:K22"/>
  <sheetViews>
    <sheetView zoomScale="140" zoomScaleNormal="140" workbookViewId="0">
      <selection activeCell="G9" sqref="G9"/>
    </sheetView>
  </sheetViews>
  <sheetFormatPr baseColWidth="10" defaultColWidth="8.88671875" defaultRowHeight="14.4" x14ac:dyDescent="0.3"/>
  <cols>
    <col min="1" max="1" width="54" customWidth="1"/>
    <col min="2" max="2" width="44.88671875" customWidth="1"/>
    <col min="3" max="3" width="23.88671875" style="9" customWidth="1"/>
    <col min="4" max="4" width="6.109375" bestFit="1" customWidth="1"/>
    <col min="5" max="5" width="24.5546875" customWidth="1"/>
    <col min="6" max="6" width="10.109375" bestFit="1" customWidth="1"/>
    <col min="7" max="7" width="65.109375" style="9" customWidth="1"/>
    <col min="8" max="8" width="34" style="9" customWidth="1"/>
    <col min="9" max="9" width="64" customWidth="1"/>
    <col min="10" max="10" width="29.109375" customWidth="1"/>
    <col min="11" max="11" width="16.6640625" bestFit="1" customWidth="1"/>
  </cols>
  <sheetData>
    <row r="1" spans="1:11" s="1" customFormat="1" x14ac:dyDescent="0.3">
      <c r="A1" s="1" t="s">
        <v>1</v>
      </c>
      <c r="B1" s="1" t="s">
        <v>65</v>
      </c>
      <c r="C1" s="10" t="s">
        <v>0</v>
      </c>
      <c r="D1" s="1" t="s">
        <v>3</v>
      </c>
      <c r="E1" s="1" t="s">
        <v>41</v>
      </c>
      <c r="F1" s="1" t="s">
        <v>66</v>
      </c>
      <c r="G1" s="10" t="s">
        <v>67</v>
      </c>
      <c r="H1" s="10" t="s">
        <v>68</v>
      </c>
      <c r="I1" s="1" t="s">
        <v>69</v>
      </c>
      <c r="J1" s="1" t="s">
        <v>70</v>
      </c>
      <c r="K1" s="1" t="s">
        <v>71</v>
      </c>
    </row>
    <row r="2" spans="1:11" x14ac:dyDescent="0.3">
      <c r="A2" t="s">
        <v>72</v>
      </c>
      <c r="B2" t="str">
        <f>_xlfn.REGEXREPLACE(A2,"-",".")</f>
        <v>magasins.unitaire.pricing.caisse</v>
      </c>
      <c r="C2" s="9" t="s">
        <v>73</v>
      </c>
      <c r="D2">
        <v>1</v>
      </c>
      <c r="E2" t="s">
        <v>47</v>
      </c>
      <c r="F2" t="s">
        <v>74</v>
      </c>
      <c r="G2" s="9" t="s">
        <v>75</v>
      </c>
      <c r="I2" t="s">
        <v>76</v>
      </c>
      <c r="J2" t="s">
        <v>77</v>
      </c>
      <c r="K2" s="12" t="b">
        <v>1</v>
      </c>
    </row>
    <row r="3" spans="1:11" ht="28.8" x14ac:dyDescent="0.3">
      <c r="A3" t="s">
        <v>78</v>
      </c>
      <c r="B3" t="str">
        <f t="shared" ref="B3" si="0">_xlfn.REGEXREPLACE(A3,"-",".")</f>
        <v>magasins.unitaire.pricing.etiquettes.electroniques</v>
      </c>
      <c r="C3" s="9" t="s">
        <v>79</v>
      </c>
      <c r="D3">
        <v>2</v>
      </c>
      <c r="E3" t="s">
        <v>47</v>
      </c>
      <c r="F3" t="s">
        <v>74</v>
      </c>
      <c r="G3" s="9" t="s">
        <v>80</v>
      </c>
      <c r="I3" t="s">
        <v>76</v>
      </c>
      <c r="J3" t="s">
        <v>81</v>
      </c>
      <c r="K3" s="12" t="b">
        <v>1</v>
      </c>
    </row>
    <row r="4" spans="1:11" ht="28.8" x14ac:dyDescent="0.3">
      <c r="A4" t="s">
        <v>82</v>
      </c>
      <c r="B4" t="str">
        <f>_xlfn.REGEXREPLACE(A4,"-",".")</f>
        <v>magasins.unitaire.pricing.etiquettes.papier</v>
      </c>
      <c r="C4" s="9" t="s">
        <v>83</v>
      </c>
      <c r="D4">
        <v>3</v>
      </c>
      <c r="E4" t="s">
        <v>47</v>
      </c>
      <c r="F4" t="s">
        <v>74</v>
      </c>
      <c r="G4" s="9" t="s">
        <v>84</v>
      </c>
      <c r="I4" t="s">
        <v>76</v>
      </c>
      <c r="J4" t="s">
        <v>85</v>
      </c>
      <c r="K4" s="12" t="b">
        <v>1</v>
      </c>
    </row>
    <row r="5" spans="1:11" ht="28.8" x14ac:dyDescent="0.3">
      <c r="A5" t="s">
        <v>86</v>
      </c>
      <c r="B5" t="str">
        <f t="shared" ref="B5:B6" si="1">_xlfn.REGEXREPLACE(A5,"-",".")</f>
        <v>magasins.unitaire.pricing.vue.web.magasin</v>
      </c>
      <c r="C5" s="9" t="s">
        <v>87</v>
      </c>
      <c r="D5">
        <v>4</v>
      </c>
      <c r="E5" t="s">
        <v>47</v>
      </c>
      <c r="F5" t="s">
        <v>74</v>
      </c>
      <c r="G5" s="9" t="s">
        <v>88</v>
      </c>
      <c r="I5" t="s">
        <v>76</v>
      </c>
      <c r="J5" t="s">
        <v>89</v>
      </c>
      <c r="K5" s="12" t="b">
        <v>1</v>
      </c>
    </row>
    <row r="6" spans="1:11" x14ac:dyDescent="0.3">
      <c r="A6" t="s">
        <v>90</v>
      </c>
      <c r="B6" t="str">
        <f t="shared" si="1"/>
        <v>magasins.unitaire.pricing.appli.commande.magasin</v>
      </c>
      <c r="C6" s="9" t="s">
        <v>91</v>
      </c>
      <c r="D6">
        <v>5</v>
      </c>
      <c r="E6" t="s">
        <v>47</v>
      </c>
      <c r="F6" t="s">
        <v>92</v>
      </c>
      <c r="G6" s="9" t="s">
        <v>93</v>
      </c>
      <c r="I6" t="s">
        <v>76</v>
      </c>
      <c r="J6" t="s">
        <v>94</v>
      </c>
      <c r="K6" s="12" t="b">
        <v>0</v>
      </c>
    </row>
    <row r="7" spans="1:11" x14ac:dyDescent="0.3">
      <c r="A7" t="s">
        <v>95</v>
      </c>
      <c r="B7" t="str">
        <f>_xlfn.REGEXREPLACE(A7,"-",".")</f>
        <v>variation.des.ventes.global</v>
      </c>
      <c r="C7" s="9" t="s">
        <v>96</v>
      </c>
      <c r="D7">
        <v>6</v>
      </c>
      <c r="E7" t="s">
        <v>60</v>
      </c>
      <c r="F7" t="s">
        <v>97</v>
      </c>
      <c r="G7" s="9" t="s">
        <v>98</v>
      </c>
      <c r="I7" t="s">
        <v>99</v>
      </c>
      <c r="K7" s="12" t="b">
        <v>0</v>
      </c>
    </row>
    <row r="8" spans="1:11" x14ac:dyDescent="0.3">
      <c r="A8" t="s">
        <v>100</v>
      </c>
      <c r="B8" t="str">
        <f>_xlfn.REGEXREPLACE(A8,"-",".")</f>
        <v>kpi.suivi.application.des.op.mise.a.jour.SAP</v>
      </c>
      <c r="C8" s="9" t="s">
        <v>101</v>
      </c>
      <c r="D8">
        <v>7</v>
      </c>
      <c r="E8" t="s">
        <v>63</v>
      </c>
      <c r="F8" t="s">
        <v>97</v>
      </c>
      <c r="G8" s="9" t="s">
        <v>102</v>
      </c>
      <c r="I8" t="s">
        <v>103</v>
      </c>
      <c r="K8" s="12" t="b">
        <v>0</v>
      </c>
    </row>
    <row r="9" spans="1:11" ht="144" x14ac:dyDescent="0.3">
      <c r="A9" t="s">
        <v>104</v>
      </c>
      <c r="B9" t="str">
        <f t="shared" ref="B9:B19" si="2">_xlfn.REGEXREPLACE(A9,"-",".")</f>
        <v>kpi.suivi.application.des.op.caisse</v>
      </c>
      <c r="C9" s="9" t="s">
        <v>73</v>
      </c>
      <c r="D9">
        <v>8</v>
      </c>
      <c r="E9" t="s">
        <v>63</v>
      </c>
      <c r="F9" t="s">
        <v>74</v>
      </c>
      <c r="G9" s="9" t="s">
        <v>105</v>
      </c>
      <c r="H9" s="9" t="s">
        <v>106</v>
      </c>
      <c r="I9" t="s">
        <v>107</v>
      </c>
      <c r="K9" s="12" t="b">
        <v>1</v>
      </c>
    </row>
    <row r="10" spans="1:11" ht="144" x14ac:dyDescent="0.3">
      <c r="A10" t="s">
        <v>108</v>
      </c>
      <c r="B10" t="str">
        <f t="shared" si="2"/>
        <v>kpi.suivi.application.des.op.etiquettes.electroniques</v>
      </c>
      <c r="C10" s="9" t="s">
        <v>79</v>
      </c>
      <c r="D10">
        <v>11</v>
      </c>
      <c r="E10" t="s">
        <v>63</v>
      </c>
      <c r="F10" t="s">
        <v>74</v>
      </c>
      <c r="G10" s="9" t="s">
        <v>109</v>
      </c>
      <c r="H10" s="9" t="s">
        <v>106</v>
      </c>
      <c r="I10" t="s">
        <v>107</v>
      </c>
      <c r="K10" s="12" t="b">
        <v>1</v>
      </c>
    </row>
    <row r="11" spans="1:11" ht="144" x14ac:dyDescent="0.3">
      <c r="A11" t="s">
        <v>110</v>
      </c>
      <c r="B11" t="str">
        <f t="shared" si="2"/>
        <v>kpi.suivi.application.des.op.etiquettes.papier</v>
      </c>
      <c r="C11" s="9" t="s">
        <v>83</v>
      </c>
      <c r="D11">
        <v>14</v>
      </c>
      <c r="E11" t="s">
        <v>63</v>
      </c>
      <c r="F11" t="s">
        <v>74</v>
      </c>
      <c r="G11" s="9" t="s">
        <v>111</v>
      </c>
      <c r="H11" s="9" t="s">
        <v>106</v>
      </c>
      <c r="I11" t="s">
        <v>107</v>
      </c>
      <c r="K11" s="12" t="b">
        <v>1</v>
      </c>
    </row>
    <row r="12" spans="1:11" ht="144" x14ac:dyDescent="0.3">
      <c r="A12" t="s">
        <v>112</v>
      </c>
      <c r="B12" t="str">
        <f t="shared" si="2"/>
        <v>kpi.suivi.application.des.op.vue.web.magasin</v>
      </c>
      <c r="C12" s="9" t="s">
        <v>87</v>
      </c>
      <c r="D12">
        <v>17</v>
      </c>
      <c r="E12" t="s">
        <v>63</v>
      </c>
      <c r="F12" t="s">
        <v>74</v>
      </c>
      <c r="G12" s="9" t="s">
        <v>113</v>
      </c>
      <c r="H12" s="9" t="s">
        <v>106</v>
      </c>
      <c r="I12" t="s">
        <v>107</v>
      </c>
      <c r="K12" s="12" t="b">
        <v>1</v>
      </c>
    </row>
    <row r="13" spans="1:11" x14ac:dyDescent="0.3">
      <c r="A13" t="s">
        <v>114</v>
      </c>
      <c r="B13" t="str">
        <f t="shared" si="2"/>
        <v>kpi.suivi.application.des.op.appli.commande.magasin</v>
      </c>
      <c r="C13" s="9" t="s">
        <v>91</v>
      </c>
      <c r="D13">
        <v>20</v>
      </c>
      <c r="E13" t="s">
        <v>63</v>
      </c>
      <c r="F13" t="s">
        <v>97</v>
      </c>
      <c r="G13" s="9" t="s">
        <v>115</v>
      </c>
      <c r="I13" t="s">
        <v>103</v>
      </c>
      <c r="J13" t="s">
        <v>94</v>
      </c>
      <c r="K13" s="12" t="b">
        <v>0</v>
      </c>
    </row>
    <row r="14" spans="1:11" x14ac:dyDescent="0.3">
      <c r="A14" t="s">
        <v>116</v>
      </c>
      <c r="B14" t="str">
        <f t="shared" si="2"/>
        <v>kpi.suivi.des.changements.de.prix.mise.a.jour.SAP</v>
      </c>
      <c r="C14" s="9" t="s">
        <v>101</v>
      </c>
      <c r="D14">
        <v>23</v>
      </c>
      <c r="E14" t="s">
        <v>64</v>
      </c>
      <c r="F14" t="s">
        <v>97</v>
      </c>
      <c r="G14" s="9" t="s">
        <v>102</v>
      </c>
      <c r="I14" t="s">
        <v>103</v>
      </c>
      <c r="K14" s="12" t="b">
        <v>0</v>
      </c>
    </row>
    <row r="15" spans="1:11" ht="144" x14ac:dyDescent="0.3">
      <c r="A15" t="s">
        <v>117</v>
      </c>
      <c r="B15" t="str">
        <f t="shared" si="2"/>
        <v>kpi.suivi.des.changements.de.prix.caisse</v>
      </c>
      <c r="C15" s="9" t="s">
        <v>73</v>
      </c>
      <c r="D15">
        <v>24</v>
      </c>
      <c r="E15" t="s">
        <v>64</v>
      </c>
      <c r="F15" t="s">
        <v>74</v>
      </c>
      <c r="G15" s="9" t="s">
        <v>118</v>
      </c>
      <c r="H15" s="9" t="s">
        <v>106</v>
      </c>
      <c r="I15" t="s">
        <v>107</v>
      </c>
      <c r="K15" s="12" t="b">
        <v>1</v>
      </c>
    </row>
    <row r="16" spans="1:11" ht="144" x14ac:dyDescent="0.3">
      <c r="A16" t="s">
        <v>119</v>
      </c>
      <c r="B16" t="str">
        <f t="shared" si="2"/>
        <v>kpi.suivi.des.changements.de.prix.etiquettes.electroniques</v>
      </c>
      <c r="C16" s="9" t="s">
        <v>79</v>
      </c>
      <c r="D16">
        <v>27</v>
      </c>
      <c r="E16" t="s">
        <v>64</v>
      </c>
      <c r="F16" t="s">
        <v>74</v>
      </c>
      <c r="G16" s="9" t="s">
        <v>120</v>
      </c>
      <c r="H16" s="9" t="s">
        <v>106</v>
      </c>
      <c r="I16" t="s">
        <v>107</v>
      </c>
      <c r="K16" s="12" t="b">
        <v>1</v>
      </c>
    </row>
    <row r="17" spans="1:11" ht="144" x14ac:dyDescent="0.3">
      <c r="A17" t="s">
        <v>121</v>
      </c>
      <c r="B17" t="str">
        <f t="shared" si="2"/>
        <v>kpi.suivi.des.changements.de.prix.etiquettes.papier</v>
      </c>
      <c r="C17" s="9" t="s">
        <v>83</v>
      </c>
      <c r="D17">
        <v>30</v>
      </c>
      <c r="E17" t="s">
        <v>64</v>
      </c>
      <c r="F17" t="s">
        <v>74</v>
      </c>
      <c r="G17" s="9" t="s">
        <v>122</v>
      </c>
      <c r="H17" s="9" t="s">
        <v>106</v>
      </c>
      <c r="I17" t="s">
        <v>107</v>
      </c>
      <c r="K17" s="12" t="b">
        <v>1</v>
      </c>
    </row>
    <row r="18" spans="1:11" ht="144" x14ac:dyDescent="0.3">
      <c r="A18" t="s">
        <v>123</v>
      </c>
      <c r="B18" t="str">
        <f t="shared" si="2"/>
        <v>kpi.suivi.des.changements.de.prix.vue.web.magasin</v>
      </c>
      <c r="C18" s="9" t="s">
        <v>87</v>
      </c>
      <c r="D18">
        <v>33</v>
      </c>
      <c r="E18" t="s">
        <v>64</v>
      </c>
      <c r="F18" t="s">
        <v>74</v>
      </c>
      <c r="G18" s="9" t="s">
        <v>124</v>
      </c>
      <c r="H18" s="9" t="s">
        <v>106</v>
      </c>
      <c r="I18" t="s">
        <v>107</v>
      </c>
      <c r="K18" s="12" t="b">
        <v>1</v>
      </c>
    </row>
    <row r="19" spans="1:11" x14ac:dyDescent="0.3">
      <c r="A19" t="s">
        <v>125</v>
      </c>
      <c r="B19" t="str">
        <f t="shared" si="2"/>
        <v>kpi.suivi.des.changements.de.prix.appli.commande.magasin</v>
      </c>
      <c r="C19" s="9" t="s">
        <v>91</v>
      </c>
      <c r="D19">
        <v>36</v>
      </c>
      <c r="E19" t="s">
        <v>64</v>
      </c>
      <c r="F19" t="s">
        <v>97</v>
      </c>
      <c r="G19" s="9" t="s">
        <v>126</v>
      </c>
      <c r="I19" t="s">
        <v>103</v>
      </c>
      <c r="J19" t="s">
        <v>94</v>
      </c>
      <c r="K19" s="12" t="b">
        <v>0</v>
      </c>
    </row>
    <row r="20" spans="1:11" x14ac:dyDescent="0.3">
      <c r="A20" t="s">
        <v>127</v>
      </c>
      <c r="B20" t="str">
        <f>_xlfn.REGEXREPLACE(A20,"-",".")</f>
        <v>recherche.produit.global</v>
      </c>
      <c r="C20" s="9" t="s">
        <v>96</v>
      </c>
      <c r="D20">
        <v>39</v>
      </c>
      <c r="E20" t="s">
        <v>62</v>
      </c>
      <c r="F20" t="s">
        <v>97</v>
      </c>
      <c r="G20" s="9" t="s">
        <v>128</v>
      </c>
      <c r="J20" t="s">
        <v>94</v>
      </c>
      <c r="K20" s="12" t="b">
        <v>0</v>
      </c>
    </row>
    <row r="21" spans="1:11" x14ac:dyDescent="0.3">
      <c r="A21" t="s">
        <v>129</v>
      </c>
      <c r="B21" t="str">
        <f t="shared" ref="B21:B22" si="3">_xlfn.REGEXREPLACE(A21,"-",".")</f>
        <v>echec.checkout.global</v>
      </c>
      <c r="C21" s="9" t="s">
        <v>96</v>
      </c>
      <c r="D21">
        <v>41</v>
      </c>
      <c r="E21" t="s">
        <v>25</v>
      </c>
      <c r="F21" t="s">
        <v>97</v>
      </c>
      <c r="G21" s="9" t="s">
        <v>128</v>
      </c>
      <c r="J21" t="s">
        <v>94</v>
      </c>
      <c r="K21" s="12" t="b">
        <v>0</v>
      </c>
    </row>
    <row r="22" spans="1:11" x14ac:dyDescent="0.3">
      <c r="A22" t="s">
        <v>130</v>
      </c>
      <c r="B22" t="str">
        <f t="shared" si="3"/>
        <v>volumetrie.de.prix.vers.caisses.castorama</v>
      </c>
      <c r="C22" s="9" t="s">
        <v>96</v>
      </c>
      <c r="D22">
        <v>43</v>
      </c>
      <c r="E22" t="s">
        <v>32</v>
      </c>
      <c r="F22" t="s">
        <v>74</v>
      </c>
      <c r="G22" s="9" t="s">
        <v>131</v>
      </c>
      <c r="I22" t="s">
        <v>132</v>
      </c>
      <c r="J22" t="s">
        <v>133</v>
      </c>
      <c r="K22" s="12" t="b">
        <v>1</v>
      </c>
    </row>
  </sheetData>
  <dataValidations count="1">
    <dataValidation allowBlank="1" showInputMessage="1" showErrorMessage="1" sqref="F1:F1048576" xr:uid="{8781163E-F03A-43EA-BAB1-8FE56E32F5E4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BE525A-8555-7F47-B731-DB9E764AE520}">
          <x14:formula1>
            <xm:f>Templates!$B$2:$B$20</xm:f>
          </x14:formula1>
          <xm:sqref>E2:E22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D124-8605-2945-A944-E66B1AADD8F0}">
  <sheetPr codeName="Feuil7"/>
  <dimension ref="A1:V83"/>
  <sheetViews>
    <sheetView zoomScale="140" zoomScaleNormal="140" workbookViewId="0">
      <selection activeCell="D40" sqref="D40"/>
    </sheetView>
  </sheetViews>
  <sheetFormatPr baseColWidth="10" defaultColWidth="10.88671875" defaultRowHeight="15" customHeight="1" x14ac:dyDescent="0.25"/>
  <cols>
    <col min="1" max="1" width="43.88671875" style="2" customWidth="1"/>
    <col min="2" max="2" width="81.5546875" style="6" customWidth="1"/>
    <col min="3" max="3" width="25.33203125" style="2" customWidth="1"/>
    <col min="4" max="4" width="67.6640625" style="11" customWidth="1"/>
    <col min="5" max="5" width="52.6640625" style="2" bestFit="1" customWidth="1"/>
    <col min="6" max="6" width="10.88671875" style="2" bestFit="1" customWidth="1"/>
    <col min="7" max="16384" width="10.88671875" style="2"/>
  </cols>
  <sheetData>
    <row r="1" spans="1:22" x14ac:dyDescent="0.25">
      <c r="A1" s="2" t="s">
        <v>41</v>
      </c>
      <c r="B1" s="6" t="s">
        <v>134</v>
      </c>
      <c r="C1" s="2" t="s">
        <v>135</v>
      </c>
      <c r="D1" s="11" t="s">
        <v>136</v>
      </c>
      <c r="E1" s="2" t="s">
        <v>137</v>
      </c>
      <c r="P1" s="2" t="s">
        <v>138</v>
      </c>
      <c r="T1" s="2" t="s">
        <v>135</v>
      </c>
      <c r="V1" s="2" t="s">
        <v>139</v>
      </c>
    </row>
    <row r="2" spans="1:22" ht="15.6" x14ac:dyDescent="0.3">
      <c r="A2" t="s">
        <v>72</v>
      </c>
      <c r="B2" s="6" t="s">
        <v>140</v>
      </c>
      <c r="C2" s="2" t="s">
        <v>141</v>
      </c>
      <c r="D2" s="9" t="s">
        <v>142</v>
      </c>
      <c r="E2" s="2" t="s">
        <v>143</v>
      </c>
      <c r="F2" s="6"/>
      <c r="P2" s="2" t="str">
        <f>Categories!A2</f>
        <v>Suivi des indicateurs web</v>
      </c>
      <c r="T2" s="2" t="s">
        <v>141</v>
      </c>
      <c r="U2" s="2">
        <v>1</v>
      </c>
      <c r="V2" s="2" t="s">
        <v>144</v>
      </c>
    </row>
    <row r="3" spans="1:22" ht="15.6" x14ac:dyDescent="0.3">
      <c r="A3" t="s">
        <v>72</v>
      </c>
      <c r="B3" s="6" t="s">
        <v>145</v>
      </c>
      <c r="C3" s="2" t="s">
        <v>146</v>
      </c>
      <c r="D3" s="9" t="s">
        <v>147</v>
      </c>
      <c r="E3" s="3" t="s">
        <v>148</v>
      </c>
      <c r="T3" s="2" t="s">
        <v>149</v>
      </c>
      <c r="U3" s="2">
        <v>3</v>
      </c>
      <c r="V3" s="2" t="s">
        <v>150</v>
      </c>
    </row>
    <row r="4" spans="1:22" ht="15.6" x14ac:dyDescent="0.3">
      <c r="A4" t="s">
        <v>78</v>
      </c>
      <c r="B4" s="6" t="s">
        <v>151</v>
      </c>
      <c r="C4" s="2" t="s">
        <v>141</v>
      </c>
      <c r="D4" s="9" t="s">
        <v>152</v>
      </c>
      <c r="E4" s="2" t="s">
        <v>143</v>
      </c>
      <c r="I4" s="9"/>
    </row>
    <row r="5" spans="1:22" ht="15.6" x14ac:dyDescent="0.3">
      <c r="A5" t="s">
        <v>82</v>
      </c>
      <c r="B5" s="6" t="s">
        <v>153</v>
      </c>
      <c r="C5" s="2" t="s">
        <v>141</v>
      </c>
      <c r="D5" s="9" t="s">
        <v>154</v>
      </c>
      <c r="E5" s="2" t="s">
        <v>143</v>
      </c>
      <c r="F5" s="6"/>
    </row>
    <row r="6" spans="1:22" ht="28.8" x14ac:dyDescent="0.3">
      <c r="A6" t="s">
        <v>86</v>
      </c>
      <c r="B6" s="6" t="s">
        <v>155</v>
      </c>
      <c r="C6" s="2" t="s">
        <v>141</v>
      </c>
      <c r="D6" s="9" t="s">
        <v>156</v>
      </c>
      <c r="E6" s="2" t="s">
        <v>143</v>
      </c>
    </row>
    <row r="7" spans="1:22" ht="30.6" x14ac:dyDescent="0.3">
      <c r="A7" t="s">
        <v>86</v>
      </c>
      <c r="B7" s="6" t="s">
        <v>157</v>
      </c>
      <c r="C7" s="2" t="s">
        <v>146</v>
      </c>
      <c r="D7" s="9" t="s">
        <v>158</v>
      </c>
      <c r="E7" s="3" t="s">
        <v>148</v>
      </c>
    </row>
    <row r="8" spans="1:22" ht="15.6" x14ac:dyDescent="0.3">
      <c r="A8" t="s">
        <v>90</v>
      </c>
      <c r="B8" s="6" t="s">
        <v>159</v>
      </c>
      <c r="C8" s="2" t="s">
        <v>141</v>
      </c>
      <c r="D8" s="9" t="s">
        <v>160</v>
      </c>
      <c r="E8" s="2" t="s">
        <v>143</v>
      </c>
    </row>
    <row r="9" spans="1:22" ht="15.6" x14ac:dyDescent="0.3">
      <c r="A9" t="s">
        <v>95</v>
      </c>
      <c r="B9" s="6" t="s">
        <v>161</v>
      </c>
      <c r="C9" s="2" t="s">
        <v>141</v>
      </c>
      <c r="D9" s="9" t="s">
        <v>162</v>
      </c>
      <c r="E9" s="2" t="s">
        <v>163</v>
      </c>
    </row>
    <row r="10" spans="1:22" ht="15.6" x14ac:dyDescent="0.3">
      <c r="A10" t="s">
        <v>95</v>
      </c>
      <c r="B10" s="6" t="s">
        <v>161</v>
      </c>
      <c r="C10" s="2" t="s">
        <v>146</v>
      </c>
      <c r="D10" s="9" t="s">
        <v>164</v>
      </c>
      <c r="E10" s="3" t="s">
        <v>165</v>
      </c>
    </row>
    <row r="11" spans="1:22" ht="28.8" x14ac:dyDescent="0.3">
      <c r="A11" t="s">
        <v>100</v>
      </c>
      <c r="B11" s="6" t="s">
        <v>166</v>
      </c>
      <c r="C11" s="2" t="s">
        <v>141</v>
      </c>
      <c r="D11" s="9" t="s">
        <v>167</v>
      </c>
      <c r="E11" s="2" t="s">
        <v>168</v>
      </c>
    </row>
    <row r="12" spans="1:22" ht="15.6" x14ac:dyDescent="0.3">
      <c r="A12" t="s">
        <v>100</v>
      </c>
      <c r="B12" s="6" t="s">
        <v>169</v>
      </c>
      <c r="C12" s="2" t="s">
        <v>146</v>
      </c>
      <c r="D12" s="9" t="s">
        <v>170</v>
      </c>
      <c r="E12" s="3" t="s">
        <v>148</v>
      </c>
    </row>
    <row r="13" spans="1:22" ht="15.6" x14ac:dyDescent="0.3">
      <c r="A13" t="s">
        <v>104</v>
      </c>
      <c r="B13" s="6" t="s">
        <v>171</v>
      </c>
      <c r="C13" s="2" t="s">
        <v>141</v>
      </c>
      <c r="D13" s="11" t="s">
        <v>172</v>
      </c>
      <c r="E13" s="2" t="s">
        <v>173</v>
      </c>
    </row>
    <row r="14" spans="1:22" ht="15.6" x14ac:dyDescent="0.3">
      <c r="A14" t="s">
        <v>104</v>
      </c>
      <c r="B14" s="6" t="s">
        <v>174</v>
      </c>
      <c r="C14" s="2" t="s">
        <v>146</v>
      </c>
      <c r="D14" s="11" t="s">
        <v>175</v>
      </c>
      <c r="E14" s="3" t="s">
        <v>176</v>
      </c>
    </row>
    <row r="15" spans="1:22" ht="15.6" x14ac:dyDescent="0.3">
      <c r="A15" t="s">
        <v>108</v>
      </c>
      <c r="B15" s="6" t="s">
        <v>177</v>
      </c>
      <c r="C15" s="2" t="s">
        <v>141</v>
      </c>
      <c r="D15" s="11" t="s">
        <v>178</v>
      </c>
      <c r="E15" s="2" t="s">
        <v>173</v>
      </c>
    </row>
    <row r="16" spans="1:22" ht="15.6" x14ac:dyDescent="0.3">
      <c r="A16" t="s">
        <v>108</v>
      </c>
      <c r="B16" s="6" t="s">
        <v>179</v>
      </c>
      <c r="C16" s="2" t="s">
        <v>146</v>
      </c>
      <c r="D16" s="11" t="s">
        <v>180</v>
      </c>
      <c r="E16" s="3" t="s">
        <v>181</v>
      </c>
    </row>
    <row r="17" spans="1:5" ht="15.6" x14ac:dyDescent="0.3">
      <c r="A17" t="s">
        <v>110</v>
      </c>
      <c r="B17" s="6" t="s">
        <v>182</v>
      </c>
      <c r="C17" s="2" t="s">
        <v>141</v>
      </c>
      <c r="D17" s="11" t="s">
        <v>183</v>
      </c>
      <c r="E17" s="2" t="s">
        <v>173</v>
      </c>
    </row>
    <row r="18" spans="1:5" ht="15.6" x14ac:dyDescent="0.3">
      <c r="A18" t="s">
        <v>110</v>
      </c>
      <c r="B18" s="6" t="s">
        <v>184</v>
      </c>
      <c r="C18" s="2" t="s">
        <v>146</v>
      </c>
      <c r="D18" s="11" t="s">
        <v>185</v>
      </c>
      <c r="E18" s="3" t="s">
        <v>181</v>
      </c>
    </row>
    <row r="19" spans="1:5" ht="15.6" x14ac:dyDescent="0.3">
      <c r="A19" t="s">
        <v>112</v>
      </c>
      <c r="B19" s="6" t="s">
        <v>186</v>
      </c>
      <c r="C19" s="2" t="s">
        <v>141</v>
      </c>
      <c r="D19" s="11" t="s">
        <v>187</v>
      </c>
      <c r="E19" s="2" t="s">
        <v>173</v>
      </c>
    </row>
    <row r="20" spans="1:5" ht="15.6" x14ac:dyDescent="0.3">
      <c r="A20" t="s">
        <v>112</v>
      </c>
      <c r="B20" s="6" t="s">
        <v>188</v>
      </c>
      <c r="C20" s="2" t="s">
        <v>146</v>
      </c>
      <c r="D20" s="11" t="s">
        <v>189</v>
      </c>
      <c r="E20" s="3" t="s">
        <v>176</v>
      </c>
    </row>
    <row r="21" spans="1:5" ht="15.6" x14ac:dyDescent="0.3">
      <c r="A21" t="s">
        <v>114</v>
      </c>
      <c r="B21" s="6" t="s">
        <v>190</v>
      </c>
      <c r="C21" s="2" t="s">
        <v>141</v>
      </c>
      <c r="D21" s="11" t="s">
        <v>191</v>
      </c>
      <c r="E21" s="2" t="s">
        <v>173</v>
      </c>
    </row>
    <row r="22" spans="1:5" ht="15.6" x14ac:dyDescent="0.3">
      <c r="A22" t="s">
        <v>114</v>
      </c>
      <c r="B22" s="6" t="s">
        <v>192</v>
      </c>
      <c r="C22" s="2" t="s">
        <v>146</v>
      </c>
      <c r="D22" s="11" t="s">
        <v>193</v>
      </c>
      <c r="E22" s="3" t="s">
        <v>181</v>
      </c>
    </row>
    <row r="23" spans="1:5" ht="28.8" x14ac:dyDescent="0.3">
      <c r="A23" t="s">
        <v>116</v>
      </c>
      <c r="B23" s="6" t="s">
        <v>166</v>
      </c>
      <c r="C23" s="2" t="s">
        <v>141</v>
      </c>
      <c r="D23" s="9" t="s">
        <v>194</v>
      </c>
      <c r="E23" s="2" t="s">
        <v>168</v>
      </c>
    </row>
    <row r="24" spans="1:5" ht="15.6" x14ac:dyDescent="0.3">
      <c r="A24" t="s">
        <v>116</v>
      </c>
      <c r="B24" s="6" t="s">
        <v>169</v>
      </c>
      <c r="C24" s="2" t="s">
        <v>146</v>
      </c>
      <c r="D24" s="9" t="s">
        <v>195</v>
      </c>
      <c r="E24" s="3" t="s">
        <v>148</v>
      </c>
    </row>
    <row r="25" spans="1:5" ht="15.6" x14ac:dyDescent="0.3">
      <c r="A25" t="s">
        <v>117</v>
      </c>
      <c r="B25" s="6" t="s">
        <v>171</v>
      </c>
      <c r="C25" s="2" t="s">
        <v>141</v>
      </c>
      <c r="D25" s="11" t="s">
        <v>196</v>
      </c>
      <c r="E25" s="2" t="s">
        <v>173</v>
      </c>
    </row>
    <row r="26" spans="1:5" ht="15.6" x14ac:dyDescent="0.3">
      <c r="A26" t="s">
        <v>117</v>
      </c>
      <c r="B26" s="6" t="s">
        <v>174</v>
      </c>
      <c r="C26" s="2" t="s">
        <v>146</v>
      </c>
      <c r="D26" s="11" t="s">
        <v>197</v>
      </c>
      <c r="E26" s="3" t="s">
        <v>176</v>
      </c>
    </row>
    <row r="27" spans="1:5" ht="30.6" x14ac:dyDescent="0.3">
      <c r="A27" t="s">
        <v>119</v>
      </c>
      <c r="B27" s="6" t="s">
        <v>177</v>
      </c>
      <c r="C27" s="2" t="s">
        <v>141</v>
      </c>
      <c r="D27" s="11" t="s">
        <v>198</v>
      </c>
      <c r="E27" s="2" t="s">
        <v>173</v>
      </c>
    </row>
    <row r="28" spans="1:5" ht="15.6" x14ac:dyDescent="0.3">
      <c r="A28" t="s">
        <v>119</v>
      </c>
      <c r="B28" s="6" t="s">
        <v>179</v>
      </c>
      <c r="C28" s="2" t="s">
        <v>146</v>
      </c>
      <c r="D28" s="11" t="s">
        <v>199</v>
      </c>
      <c r="E28" s="3" t="s">
        <v>181</v>
      </c>
    </row>
    <row r="29" spans="1:5" ht="30.6" x14ac:dyDescent="0.3">
      <c r="A29" t="s">
        <v>121</v>
      </c>
      <c r="B29" s="6" t="s">
        <v>182</v>
      </c>
      <c r="C29" s="2" t="s">
        <v>141</v>
      </c>
      <c r="D29" s="11" t="s">
        <v>198</v>
      </c>
      <c r="E29" s="2" t="s">
        <v>173</v>
      </c>
    </row>
    <row r="30" spans="1:5" ht="15.6" x14ac:dyDescent="0.3">
      <c r="A30" t="s">
        <v>121</v>
      </c>
      <c r="B30" s="6" t="s">
        <v>184</v>
      </c>
      <c r="C30" s="2" t="s">
        <v>146</v>
      </c>
      <c r="D30" s="11" t="s">
        <v>199</v>
      </c>
      <c r="E30" s="3" t="s">
        <v>181</v>
      </c>
    </row>
    <row r="31" spans="1:5" ht="15.6" x14ac:dyDescent="0.3">
      <c r="A31" t="s">
        <v>123</v>
      </c>
      <c r="B31" s="6" t="s">
        <v>186</v>
      </c>
      <c r="C31" s="2" t="s">
        <v>141</v>
      </c>
      <c r="D31" s="11" t="s">
        <v>200</v>
      </c>
      <c r="E31" s="2" t="s">
        <v>173</v>
      </c>
    </row>
    <row r="32" spans="1:5" ht="15.6" x14ac:dyDescent="0.3">
      <c r="A32" t="s">
        <v>123</v>
      </c>
      <c r="B32" s="6" t="s">
        <v>188</v>
      </c>
      <c r="C32" s="2" t="s">
        <v>146</v>
      </c>
      <c r="D32" s="11" t="s">
        <v>201</v>
      </c>
      <c r="E32" s="2" t="s">
        <v>176</v>
      </c>
    </row>
    <row r="33" spans="1:5" ht="30.6" x14ac:dyDescent="0.3">
      <c r="A33" t="s">
        <v>125</v>
      </c>
      <c r="B33" s="6" t="s">
        <v>190</v>
      </c>
      <c r="C33" s="2" t="s">
        <v>141</v>
      </c>
      <c r="D33" s="11" t="s">
        <v>202</v>
      </c>
      <c r="E33" s="2" t="s">
        <v>173</v>
      </c>
    </row>
    <row r="34" spans="1:5" ht="30.6" x14ac:dyDescent="0.3">
      <c r="A34" t="s">
        <v>125</v>
      </c>
      <c r="B34" s="6" t="s">
        <v>192</v>
      </c>
      <c r="C34" s="2" t="s">
        <v>146</v>
      </c>
      <c r="D34" s="11" t="s">
        <v>203</v>
      </c>
      <c r="E34" s="3" t="s">
        <v>181</v>
      </c>
    </row>
    <row r="35" spans="1:5" ht="15.6" x14ac:dyDescent="0.3">
      <c r="A35" t="s">
        <v>127</v>
      </c>
      <c r="B35" s="4" t="s">
        <v>204</v>
      </c>
      <c r="C35" s="2" t="s">
        <v>141</v>
      </c>
      <c r="D35" s="11" t="s">
        <v>205</v>
      </c>
      <c r="E35" s="2" t="s">
        <v>206</v>
      </c>
    </row>
    <row r="36" spans="1:5" ht="15.6" x14ac:dyDescent="0.3">
      <c r="A36" t="s">
        <v>127</v>
      </c>
      <c r="B36" s="6" t="s">
        <v>207</v>
      </c>
      <c r="C36" s="2" t="s">
        <v>146</v>
      </c>
      <c r="D36" s="11" t="s">
        <v>208</v>
      </c>
      <c r="E36" s="2" t="s">
        <v>209</v>
      </c>
    </row>
    <row r="37" spans="1:5" ht="15.6" x14ac:dyDescent="0.3">
      <c r="A37" t="s">
        <v>129</v>
      </c>
      <c r="B37" s="4" t="s">
        <v>210</v>
      </c>
      <c r="C37" s="2" t="s">
        <v>141</v>
      </c>
      <c r="D37" s="11" t="s">
        <v>211</v>
      </c>
      <c r="E37" s="2" t="s">
        <v>212</v>
      </c>
    </row>
    <row r="38" spans="1:5" ht="15.6" x14ac:dyDescent="0.3">
      <c r="A38" t="s">
        <v>129</v>
      </c>
      <c r="B38" s="6" t="s">
        <v>213</v>
      </c>
      <c r="C38" s="2" t="s">
        <v>146</v>
      </c>
      <c r="D38" s="11" t="s">
        <v>214</v>
      </c>
      <c r="E38" s="2" t="s">
        <v>215</v>
      </c>
    </row>
    <row r="39" spans="1:5" ht="28.8" x14ac:dyDescent="0.3">
      <c r="A39" t="s">
        <v>130</v>
      </c>
      <c r="B39" s="6" t="s">
        <v>216</v>
      </c>
      <c r="C39" s="2" t="s">
        <v>141</v>
      </c>
      <c r="D39" s="9" t="s">
        <v>217</v>
      </c>
      <c r="E39" s="2" t="s">
        <v>218</v>
      </c>
    </row>
    <row r="40" spans="1:5" ht="15.6" x14ac:dyDescent="0.3">
      <c r="A40" t="s">
        <v>130</v>
      </c>
      <c r="B40" s="4" t="s">
        <v>219</v>
      </c>
      <c r="C40" s="2" t="s">
        <v>146</v>
      </c>
      <c r="D40" s="9" t="s">
        <v>220</v>
      </c>
      <c r="E40" s="3" t="s">
        <v>221</v>
      </c>
    </row>
    <row r="41" spans="1:5" ht="15.6" x14ac:dyDescent="0.3">
      <c r="A41"/>
    </row>
    <row r="42" spans="1:5" ht="15.6" x14ac:dyDescent="0.3">
      <c r="A42"/>
      <c r="B42" s="5"/>
      <c r="E42" s="3"/>
    </row>
    <row r="43" spans="1:5" ht="15.6" x14ac:dyDescent="0.3">
      <c r="A43"/>
      <c r="B43" s="4"/>
      <c r="E43" s="3"/>
    </row>
    <row r="44" spans="1:5" ht="15.6" x14ac:dyDescent="0.3">
      <c r="A44"/>
      <c r="B44" s="4"/>
      <c r="E44" s="4"/>
    </row>
    <row r="45" spans="1:5" ht="15.6" x14ac:dyDescent="0.3">
      <c r="A45"/>
    </row>
    <row r="46" spans="1:5" ht="15.6" x14ac:dyDescent="0.3">
      <c r="A46"/>
      <c r="B46" s="5"/>
      <c r="E46" s="3"/>
    </row>
    <row r="47" spans="1:5" ht="15.6" x14ac:dyDescent="0.3">
      <c r="A47"/>
      <c r="B47" s="4"/>
      <c r="E47" s="3"/>
    </row>
    <row r="48" spans="1:5" ht="15.6" x14ac:dyDescent="0.3">
      <c r="A48"/>
      <c r="E48" s="4"/>
    </row>
    <row r="49" spans="1:5" ht="15.6" x14ac:dyDescent="0.3">
      <c r="A49"/>
    </row>
    <row r="50" spans="1:5" ht="15.6" x14ac:dyDescent="0.3">
      <c r="A50"/>
      <c r="B50" s="4"/>
    </row>
    <row r="51" spans="1:5" ht="15.6" x14ac:dyDescent="0.3">
      <c r="A51"/>
      <c r="B51" s="4"/>
    </row>
    <row r="52" spans="1:5" ht="15.6" x14ac:dyDescent="0.3">
      <c r="A52"/>
      <c r="B52" s="4"/>
    </row>
    <row r="53" spans="1:5" ht="15.6" x14ac:dyDescent="0.3">
      <c r="A53"/>
    </row>
    <row r="54" spans="1:5" ht="15.6" x14ac:dyDescent="0.3">
      <c r="A54"/>
      <c r="B54" s="4"/>
    </row>
    <row r="55" spans="1:5" ht="15.6" x14ac:dyDescent="0.3">
      <c r="A55"/>
      <c r="B55" s="4"/>
    </row>
    <row r="56" spans="1:5" ht="15.6" x14ac:dyDescent="0.3">
      <c r="A56"/>
    </row>
    <row r="57" spans="1:5" ht="15.6" x14ac:dyDescent="0.3">
      <c r="A57"/>
      <c r="B57" s="4"/>
    </row>
    <row r="58" spans="1:5" ht="15.6" x14ac:dyDescent="0.3">
      <c r="A58"/>
      <c r="B58" s="4"/>
    </row>
    <row r="59" spans="1:5" ht="15.6" x14ac:dyDescent="0.3">
      <c r="A59"/>
      <c r="B59" s="4"/>
    </row>
    <row r="60" spans="1:5" ht="15.6" x14ac:dyDescent="0.3">
      <c r="A60"/>
    </row>
    <row r="61" spans="1:5" ht="15.6" x14ac:dyDescent="0.3">
      <c r="A61"/>
      <c r="E61" s="3"/>
    </row>
    <row r="62" spans="1:5" ht="15.6" x14ac:dyDescent="0.3">
      <c r="A62"/>
      <c r="E62" s="3"/>
    </row>
    <row r="63" spans="1:5" ht="15.6" x14ac:dyDescent="0.3">
      <c r="A63"/>
      <c r="E63" s="3"/>
    </row>
    <row r="64" spans="1:5" ht="15.6" x14ac:dyDescent="0.3">
      <c r="A64"/>
    </row>
    <row r="65" spans="1:5" ht="15.6" x14ac:dyDescent="0.3">
      <c r="A65"/>
    </row>
    <row r="66" spans="1:5" ht="15.6" x14ac:dyDescent="0.3">
      <c r="A66"/>
    </row>
    <row r="67" spans="1:5" ht="15.6" x14ac:dyDescent="0.3">
      <c r="A67"/>
    </row>
    <row r="68" spans="1:5" ht="15.6" x14ac:dyDescent="0.3">
      <c r="A68"/>
    </row>
    <row r="69" spans="1:5" ht="15.6" x14ac:dyDescent="0.3">
      <c r="A69"/>
      <c r="E69" s="3"/>
    </row>
    <row r="70" spans="1:5" ht="15.6" x14ac:dyDescent="0.3">
      <c r="A70"/>
      <c r="E70" s="4"/>
    </row>
    <row r="71" spans="1:5" ht="15.6" x14ac:dyDescent="0.3">
      <c r="A71"/>
    </row>
    <row r="72" spans="1:5" ht="15.6" x14ac:dyDescent="0.3">
      <c r="A72"/>
      <c r="B72" s="4"/>
    </row>
    <row r="73" spans="1:5" ht="15.6" x14ac:dyDescent="0.3">
      <c r="A73"/>
      <c r="B73" s="4"/>
    </row>
    <row r="74" spans="1:5" ht="15.6" x14ac:dyDescent="0.3">
      <c r="A74"/>
      <c r="B74" s="4"/>
    </row>
    <row r="75" spans="1:5" ht="15.6" x14ac:dyDescent="0.3">
      <c r="A75"/>
    </row>
    <row r="76" spans="1:5" ht="15.6" x14ac:dyDescent="0.3">
      <c r="A76"/>
      <c r="B76" s="4"/>
    </row>
    <row r="77" spans="1:5" ht="15.6" x14ac:dyDescent="0.3">
      <c r="A77"/>
      <c r="B77" s="4"/>
    </row>
    <row r="78" spans="1:5" ht="15.6" x14ac:dyDescent="0.3">
      <c r="A78"/>
      <c r="B78" s="4"/>
    </row>
    <row r="79" spans="1:5" ht="15.6" x14ac:dyDescent="0.3">
      <c r="A79"/>
    </row>
    <row r="80" spans="1:5" ht="15.6" x14ac:dyDescent="0.3">
      <c r="A80"/>
      <c r="B80" s="4"/>
    </row>
    <row r="81" spans="1:2" ht="15.6" x14ac:dyDescent="0.3">
      <c r="A81"/>
      <c r="B81" s="4"/>
    </row>
    <row r="82" spans="1:2" ht="15.6" x14ac:dyDescent="0.3">
      <c r="A82"/>
      <c r="B82" s="4"/>
    </row>
    <row r="83" spans="1:2" x14ac:dyDescent="0.25"/>
  </sheetData>
  <autoFilter ref="A1:V83" xr:uid="{BCE1D124-8605-2945-A944-E66B1AADD8F0}"/>
  <sortState xmlns:xlrd2="http://schemas.microsoft.com/office/spreadsheetml/2017/richdata2" ref="V2:V4">
    <sortCondition ref="V2:V4"/>
  </sortState>
  <dataValidations count="1">
    <dataValidation type="list" allowBlank="1" showInputMessage="1" showErrorMessage="1" sqref="C2:C40" xr:uid="{65C3F935-4E1E-1648-8203-F4069090D6F4}">
      <formula1>$T$2:$T$3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EEB8-428D-F047-9F40-1E0B80732AFF}">
  <sheetPr codeName="Feuil6"/>
  <dimension ref="A1:I72"/>
  <sheetViews>
    <sheetView topLeftCell="A13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31.6640625" customWidth="1"/>
    <col min="3" max="3" width="47.44140625" customWidth="1"/>
    <col min="4" max="4" width="18.33203125" customWidth="1"/>
    <col min="5" max="5" width="35.44140625" customWidth="1"/>
    <col min="6" max="6" width="36.6640625" customWidth="1"/>
    <col min="7" max="7" width="15.44140625" customWidth="1"/>
    <col min="8" max="8" width="37" bestFit="1" customWidth="1"/>
    <col min="9" max="9" width="137.33203125" customWidth="1"/>
  </cols>
  <sheetData>
    <row r="1" spans="1:9" x14ac:dyDescent="0.3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135</v>
      </c>
      <c r="H1" t="s">
        <v>136</v>
      </c>
      <c r="I1" t="s">
        <v>228</v>
      </c>
    </row>
    <row r="2" spans="1:9" x14ac:dyDescent="0.3">
      <c r="A2" t="e">
        <f>VLOOKUP(B2,Items!$A$1:$E$56,4,FALSE)</f>
        <v>#N/A</v>
      </c>
      <c r="B2" t="s">
        <v>229</v>
      </c>
      <c r="C2" t="e">
        <f>VLOOKUP(B2,Items!$A$1:$C$56,2,FALSE)</f>
        <v>#N/A</v>
      </c>
      <c r="E2" t="e">
        <f>VLOOKUP(B2,Items!$A$2:$D$56,3,FALSE)</f>
        <v>#N/A</v>
      </c>
      <c r="F2" t="s">
        <v>230</v>
      </c>
      <c r="G2" t="e">
        <f>VLOOKUP(F2,Triggers!$B$2:$C$144,2,FALSE)</f>
        <v>#N/A</v>
      </c>
      <c r="H2" t="e">
        <f>VLOOKUP(F2,Triggers!$B$2:$E$144,3,FALSE)</f>
        <v>#N/A</v>
      </c>
      <c r="I2" t="e">
        <f>VLOOKUP(F2,Triggers!$B$2:$E$144,4,FALSE)</f>
        <v>#N/A</v>
      </c>
    </row>
    <row r="3" spans="1:9" x14ac:dyDescent="0.3">
      <c r="A3" t="e">
        <f>VLOOKUP(B3,Items!$A$1:$E$56,4,FALSE)</f>
        <v>#N/A</v>
      </c>
      <c r="B3" t="s">
        <v>231</v>
      </c>
      <c r="C3" t="e">
        <f>VLOOKUP(B3,Items!$A$1:$C$56,2,FALSE)</f>
        <v>#N/A</v>
      </c>
      <c r="E3" t="e">
        <f>VLOOKUP(B3,Items!$A$2:$D$56,3,FALSE)</f>
        <v>#N/A</v>
      </c>
      <c r="F3" t="s">
        <v>232</v>
      </c>
      <c r="G3" t="e">
        <f>VLOOKUP(F3,Triggers!$B$2:$C$144,2,FALSE)</f>
        <v>#N/A</v>
      </c>
      <c r="H3" t="e">
        <f>VLOOKUP(F3,Triggers!$B$2:$E$144,3,FALSE)</f>
        <v>#N/A</v>
      </c>
      <c r="I3" t="e">
        <f>VLOOKUP(F3,Triggers!$B$2:$E$144,4,FALSE)</f>
        <v>#N/A</v>
      </c>
    </row>
    <row r="4" spans="1:9" x14ac:dyDescent="0.3">
      <c r="A4" t="e">
        <f>VLOOKUP(B4,Items!$A$1:$E$56,4,FALSE)</f>
        <v>#N/A</v>
      </c>
      <c r="B4" t="s">
        <v>233</v>
      </c>
      <c r="C4" t="e">
        <f>VLOOKUP(B4,Items!$A$1:$C$56,2,FALSE)</f>
        <v>#N/A</v>
      </c>
      <c r="E4" t="e">
        <f>VLOOKUP(B4,Items!$A$2:$D$56,3,FALSE)</f>
        <v>#N/A</v>
      </c>
      <c r="F4" t="s">
        <v>234</v>
      </c>
      <c r="G4" t="e">
        <f>VLOOKUP(F4,Triggers!$B$2:$C$144,2,FALSE)</f>
        <v>#N/A</v>
      </c>
      <c r="H4" t="e">
        <f>VLOOKUP(F4,Triggers!$B$2:$E$144,3,FALSE)</f>
        <v>#N/A</v>
      </c>
      <c r="I4" t="e">
        <f>VLOOKUP(F4,Triggers!$B$2:$E$144,4,FALSE)</f>
        <v>#N/A</v>
      </c>
    </row>
    <row r="5" spans="1:9" x14ac:dyDescent="0.3">
      <c r="A5" t="e">
        <f>VLOOKUP(B5,Items!$A$1:$E$56,4,FALSE)</f>
        <v>#N/A</v>
      </c>
      <c r="B5" t="s">
        <v>235</v>
      </c>
      <c r="C5" t="e">
        <f>VLOOKUP(B5,Items!$A$1:$C$56,2,FALSE)</f>
        <v>#N/A</v>
      </c>
      <c r="E5" t="e">
        <f>VLOOKUP(B5,Items!$A$2:$D$56,3,FALSE)</f>
        <v>#N/A</v>
      </c>
      <c r="F5" t="s">
        <v>236</v>
      </c>
      <c r="G5" t="e">
        <f>VLOOKUP(F5,Triggers!$B$2:$C$144,2,FALSE)</f>
        <v>#N/A</v>
      </c>
      <c r="H5" t="e">
        <f>VLOOKUP(F5,Triggers!$B$2:$E$144,3,FALSE)</f>
        <v>#N/A</v>
      </c>
      <c r="I5" t="e">
        <f>VLOOKUP(F5,Triggers!$B$2:$E$144,4,FALSE)</f>
        <v>#N/A</v>
      </c>
    </row>
    <row r="6" spans="1:9" x14ac:dyDescent="0.3">
      <c r="A6" t="e">
        <f>VLOOKUP(B6,Items!$A$1:$E$56,4,FALSE)</f>
        <v>#N/A</v>
      </c>
      <c r="B6" t="s">
        <v>237</v>
      </c>
      <c r="C6" t="e">
        <f>VLOOKUP(B6,Items!$A$1:$C$56,2,FALSE)</f>
        <v>#N/A</v>
      </c>
      <c r="E6" t="e">
        <f>VLOOKUP(B6,Items!$A$2:$D$56,3,FALSE)</f>
        <v>#N/A</v>
      </c>
      <c r="F6" t="s">
        <v>238</v>
      </c>
      <c r="G6" t="e">
        <f>VLOOKUP(F6,Triggers!$B$2:$C$144,2,FALSE)</f>
        <v>#N/A</v>
      </c>
      <c r="H6" t="e">
        <f>VLOOKUP(F6,Triggers!$B$2:$E$144,3,FALSE)</f>
        <v>#N/A</v>
      </c>
      <c r="I6" t="e">
        <f>VLOOKUP(F6,Triggers!$B$2:$E$144,4,FALSE)</f>
        <v>#N/A</v>
      </c>
    </row>
    <row r="7" spans="1:9" x14ac:dyDescent="0.3">
      <c r="A7" t="e">
        <f>VLOOKUP(B7,Items!$A$1:$E$56,4,FALSE)</f>
        <v>#N/A</v>
      </c>
      <c r="B7" t="s">
        <v>239</v>
      </c>
      <c r="C7" t="e">
        <f>VLOOKUP(B7,Items!$A$1:$C$56,2,FALSE)</f>
        <v>#N/A</v>
      </c>
      <c r="E7" t="e">
        <f>VLOOKUP(B7,Items!$A$2:$D$56,3,FALSE)</f>
        <v>#N/A</v>
      </c>
      <c r="F7" t="s">
        <v>240</v>
      </c>
      <c r="G7" t="e">
        <f>VLOOKUP(F7,Triggers!$B$2:$C$144,2,FALSE)</f>
        <v>#N/A</v>
      </c>
      <c r="H7" t="e">
        <f>VLOOKUP(F7,Triggers!$B$2:$E$144,3,FALSE)</f>
        <v>#N/A</v>
      </c>
      <c r="I7" t="e">
        <f>VLOOKUP(F7,Triggers!$B$2:$E$144,4,FALSE)</f>
        <v>#N/A</v>
      </c>
    </row>
    <row r="8" spans="1:9" x14ac:dyDescent="0.3">
      <c r="A8" t="e">
        <f>VLOOKUP(B8,Items!$A$1:$E$56,4,FALSE)</f>
        <v>#N/A</v>
      </c>
      <c r="B8" t="s">
        <v>241</v>
      </c>
      <c r="C8" t="e">
        <f>VLOOKUP(B8,Items!$A$1:$C$56,2,FALSE)</f>
        <v>#N/A</v>
      </c>
      <c r="E8" t="e">
        <f>VLOOKUP(B8,Items!$A$2:$D$56,3,FALSE)</f>
        <v>#N/A</v>
      </c>
      <c r="F8" t="s">
        <v>242</v>
      </c>
      <c r="G8" t="e">
        <f>VLOOKUP(F8,Triggers!$B$2:$C$144,2,FALSE)</f>
        <v>#N/A</v>
      </c>
      <c r="H8" t="e">
        <f>VLOOKUP(F8,Triggers!$B$2:$E$144,3,FALSE)</f>
        <v>#N/A</v>
      </c>
      <c r="I8" t="e">
        <f>VLOOKUP(F8,Triggers!$B$2:$E$144,4,FALSE)</f>
        <v>#N/A</v>
      </c>
    </row>
    <row r="9" spans="1:9" x14ac:dyDescent="0.3">
      <c r="A9" t="e">
        <f>VLOOKUP(B9,Items!$A$1:$E$56,4,FALSE)</f>
        <v>#N/A</v>
      </c>
      <c r="B9" t="s">
        <v>243</v>
      </c>
      <c r="C9" t="e">
        <f>VLOOKUP(B9,Items!$A$1:$C$56,2,FALSE)</f>
        <v>#N/A</v>
      </c>
      <c r="E9" t="e">
        <f>VLOOKUP(B9,Items!$A$2:$D$56,3,FALSE)</f>
        <v>#N/A</v>
      </c>
      <c r="F9" t="s">
        <v>244</v>
      </c>
      <c r="G9" t="e">
        <f>VLOOKUP(F9,Triggers!$B$2:$C$144,2,FALSE)</f>
        <v>#N/A</v>
      </c>
      <c r="H9" t="e">
        <f>VLOOKUP(F9,Triggers!$B$2:$E$144,3,FALSE)</f>
        <v>#N/A</v>
      </c>
      <c r="I9" t="e">
        <f>VLOOKUP(F9,Triggers!$B$2:$E$144,4,FALSE)</f>
        <v>#N/A</v>
      </c>
    </row>
    <row r="10" spans="1:9" x14ac:dyDescent="0.3">
      <c r="A10" t="e">
        <f>VLOOKUP(B10,Items!$A$1:$E$56,4,FALSE)</f>
        <v>#N/A</v>
      </c>
      <c r="B10" t="s">
        <v>245</v>
      </c>
      <c r="C10" t="e">
        <f>VLOOKUP(B10,Items!$A$1:$C$56,2,FALSE)</f>
        <v>#N/A</v>
      </c>
      <c r="E10" t="e">
        <f>VLOOKUP(B10,Items!$A$2:$D$56,3,FALSE)</f>
        <v>#N/A</v>
      </c>
      <c r="F10" t="s">
        <v>246</v>
      </c>
      <c r="G10" t="e">
        <f>VLOOKUP(F10,Triggers!$B$2:$C$144,2,FALSE)</f>
        <v>#N/A</v>
      </c>
      <c r="H10" t="e">
        <f>VLOOKUP(F10,Triggers!$B$2:$E$144,3,FALSE)</f>
        <v>#N/A</v>
      </c>
      <c r="I10" t="e">
        <f>VLOOKUP(F10,Triggers!$B$2:$E$144,4,FALSE)</f>
        <v>#N/A</v>
      </c>
    </row>
    <row r="11" spans="1:9" x14ac:dyDescent="0.3">
      <c r="A11" t="e">
        <f>VLOOKUP(B11,Items!$A$1:$E$56,4,FALSE)</f>
        <v>#N/A</v>
      </c>
      <c r="B11" t="s">
        <v>247</v>
      </c>
      <c r="C11" t="e">
        <f>VLOOKUP(B11,Items!$A$1:$C$56,2,FALSE)</f>
        <v>#N/A</v>
      </c>
      <c r="D11" t="s">
        <v>248</v>
      </c>
      <c r="E11" t="e">
        <f>VLOOKUP(B11,Items!$A$2:$D$56,3,FALSE)</f>
        <v>#N/A</v>
      </c>
      <c r="F11" t="s">
        <v>249</v>
      </c>
      <c r="G11" t="e">
        <f>VLOOKUP(F11,Triggers!$B$2:$C$144,2,FALSE)</f>
        <v>#N/A</v>
      </c>
      <c r="H11" t="e">
        <f>VLOOKUP(F11,Triggers!$B$2:$E$144,3,FALSE)</f>
        <v>#N/A</v>
      </c>
      <c r="I11" t="e">
        <f>VLOOKUP(F11,Triggers!$B$2:$E$144,4,FALSE)</f>
        <v>#N/A</v>
      </c>
    </row>
    <row r="12" spans="1:9" x14ac:dyDescent="0.3">
      <c r="A12" t="e">
        <f>VLOOKUP(B12,Items!$A$1:$E$56,4,FALSE)</f>
        <v>#N/A</v>
      </c>
      <c r="B12" t="s">
        <v>247</v>
      </c>
      <c r="C12" t="e">
        <f>VLOOKUP(B12,Items!$A$1:$C$56,2,FALSE)</f>
        <v>#N/A</v>
      </c>
      <c r="D12" t="s">
        <v>250</v>
      </c>
      <c r="E12" t="s">
        <v>251</v>
      </c>
      <c r="F12" t="s">
        <v>249</v>
      </c>
      <c r="G12" t="e">
        <f>VLOOKUP(F12,Triggers!$B$2:$C$144,2,FALSE)</f>
        <v>#N/A</v>
      </c>
      <c r="H12" t="e">
        <f>VLOOKUP(F12,Triggers!$B$2:$E$144,3,FALSE)</f>
        <v>#N/A</v>
      </c>
      <c r="I12" t="e">
        <f>VLOOKUP(F12,Triggers!$B$2:$E$144,4,FALSE)</f>
        <v>#N/A</v>
      </c>
    </row>
    <row r="13" spans="1:9" x14ac:dyDescent="0.3">
      <c r="A13" t="e">
        <f>VLOOKUP(B13,Items!$A$1:$E$56,4,FALSE)</f>
        <v>#N/A</v>
      </c>
      <c r="B13" t="s">
        <v>247</v>
      </c>
      <c r="C13" t="e">
        <f>VLOOKUP(B13,Items!$A$1:$C$56,2,FALSE)</f>
        <v>#N/A</v>
      </c>
      <c r="D13" t="s">
        <v>252</v>
      </c>
      <c r="E13" t="s">
        <v>253</v>
      </c>
      <c r="F13" t="s">
        <v>249</v>
      </c>
      <c r="G13" t="e">
        <f>VLOOKUP(F13,Triggers!$B$2:$C$144,2,FALSE)</f>
        <v>#N/A</v>
      </c>
      <c r="H13" t="e">
        <f>VLOOKUP(F13,Triggers!$B$2:$E$144,3,FALSE)</f>
        <v>#N/A</v>
      </c>
      <c r="I13" t="e">
        <f>VLOOKUP(F13,Triggers!$B$2:$E$144,4,FALSE)</f>
        <v>#N/A</v>
      </c>
    </row>
    <row r="14" spans="1:9" x14ac:dyDescent="0.3">
      <c r="A14" t="e">
        <f>VLOOKUP(B14,Items!$A$1:$E$56,4,FALSE)</f>
        <v>#N/A</v>
      </c>
      <c r="B14" t="s">
        <v>254</v>
      </c>
      <c r="C14" t="e">
        <f>VLOOKUP(B14,Items!$A$1:$C$56,2,FALSE)</f>
        <v>#N/A</v>
      </c>
      <c r="D14" t="s">
        <v>248</v>
      </c>
      <c r="E14" t="e">
        <f>VLOOKUP(B14,Items!$A$2:$D$56,3,FALSE)</f>
        <v>#N/A</v>
      </c>
      <c r="F14" t="s">
        <v>255</v>
      </c>
      <c r="G14" t="e">
        <f>VLOOKUP(F14,Triggers!$B$2:$C$144,2,FALSE)</f>
        <v>#N/A</v>
      </c>
      <c r="H14" t="e">
        <f>VLOOKUP(F14,Triggers!$B$2:$E$144,3,FALSE)</f>
        <v>#N/A</v>
      </c>
      <c r="I14" t="e">
        <f>VLOOKUP(F14,Triggers!$B$2:$E$144,4,FALSE)</f>
        <v>#N/A</v>
      </c>
    </row>
    <row r="15" spans="1:9" x14ac:dyDescent="0.3">
      <c r="A15" t="e">
        <f>VLOOKUP(B15,Items!$A$1:$E$56,4,FALSE)</f>
        <v>#N/A</v>
      </c>
      <c r="B15" t="s">
        <v>254</v>
      </c>
      <c r="C15" t="e">
        <f>VLOOKUP(B15,Items!$A$1:$C$56,2,FALSE)</f>
        <v>#N/A</v>
      </c>
      <c r="D15" t="s">
        <v>250</v>
      </c>
      <c r="E15" t="s">
        <v>251</v>
      </c>
      <c r="F15" t="s">
        <v>256</v>
      </c>
      <c r="G15" t="e">
        <f>VLOOKUP(F15,Triggers!$B$2:$C$144,2,FALSE)</f>
        <v>#N/A</v>
      </c>
      <c r="H15" t="e">
        <f>VLOOKUP(F15,Triggers!$B$2:$E$144,3,FALSE)</f>
        <v>#N/A</v>
      </c>
      <c r="I15" t="e">
        <f>VLOOKUP(F15,Triggers!$B$2:$E$144,4,FALSE)</f>
        <v>#N/A</v>
      </c>
    </row>
    <row r="16" spans="1:9" x14ac:dyDescent="0.3">
      <c r="A16" t="e">
        <f>VLOOKUP(B16,Items!$A$1:$E$56,4,FALSE)</f>
        <v>#N/A</v>
      </c>
      <c r="B16" t="s">
        <v>254</v>
      </c>
      <c r="C16" t="e">
        <f>VLOOKUP(B16,Items!$A$1:$C$56,2,FALSE)</f>
        <v>#N/A</v>
      </c>
      <c r="D16" t="s">
        <v>252</v>
      </c>
      <c r="E16" t="s">
        <v>253</v>
      </c>
      <c r="F16" t="s">
        <v>257</v>
      </c>
      <c r="G16" t="e">
        <f>VLOOKUP(F16,Triggers!$B$2:$C$144,2,FALSE)</f>
        <v>#N/A</v>
      </c>
      <c r="H16" t="e">
        <f>VLOOKUP(F16,Triggers!$B$2:$E$144,3,FALSE)</f>
        <v>#N/A</v>
      </c>
      <c r="I16" t="e">
        <f>VLOOKUP(F16,Triggers!$B$2:$E$144,4,FALSE)</f>
        <v>#N/A</v>
      </c>
    </row>
    <row r="17" spans="1:9" x14ac:dyDescent="0.3">
      <c r="A17" t="e">
        <f>VLOOKUP(B17,Items!$A$1:$E$56,4,FALSE)</f>
        <v>#N/A</v>
      </c>
      <c r="B17" t="s">
        <v>258</v>
      </c>
      <c r="C17" t="e">
        <f>VLOOKUP(B17,Items!$A$1:$C$56,2,FALSE)</f>
        <v>#N/A</v>
      </c>
      <c r="D17" t="s">
        <v>248</v>
      </c>
      <c r="E17" t="s">
        <v>259</v>
      </c>
      <c r="F17" t="s">
        <v>260</v>
      </c>
      <c r="G17" t="e">
        <f>VLOOKUP(F17,Triggers!$B$2:$C$144,2,FALSE)</f>
        <v>#N/A</v>
      </c>
      <c r="H17" t="e">
        <f>VLOOKUP(F17,Triggers!$B$2:$E$144,3,FALSE)</f>
        <v>#N/A</v>
      </c>
      <c r="I17" t="e">
        <f>VLOOKUP(F17,Triggers!$B$2:$E$144,4,FALSE)</f>
        <v>#N/A</v>
      </c>
    </row>
    <row r="18" spans="1:9" x14ac:dyDescent="0.3">
      <c r="A18" t="e">
        <f>VLOOKUP(B18,Items!$A$1:$E$56,4,FALSE)</f>
        <v>#N/A</v>
      </c>
      <c r="B18" t="s">
        <v>258</v>
      </c>
      <c r="C18" t="e">
        <f>VLOOKUP(B18,Items!$A$1:$C$56,2,FALSE)</f>
        <v>#N/A</v>
      </c>
      <c r="D18" t="s">
        <v>250</v>
      </c>
      <c r="E18" t="e">
        <f>VLOOKUP(B18,Items!$A$2:$D$56,3,FALSE)</f>
        <v>#N/A</v>
      </c>
      <c r="F18" t="s">
        <v>260</v>
      </c>
      <c r="G18" t="e">
        <f>VLOOKUP(F18,Triggers!$B$2:$C$144,2,FALSE)</f>
        <v>#N/A</v>
      </c>
      <c r="H18" t="e">
        <f>VLOOKUP(F18,Triggers!$B$2:$E$144,3,FALSE)</f>
        <v>#N/A</v>
      </c>
      <c r="I18" t="e">
        <f>VLOOKUP(F18,Triggers!$B$2:$E$144,4,FALSE)</f>
        <v>#N/A</v>
      </c>
    </row>
    <row r="19" spans="1:9" x14ac:dyDescent="0.3">
      <c r="A19" t="e">
        <f>VLOOKUP(B19,Items!$A$1:$E$56,4,FALSE)</f>
        <v>#N/A</v>
      </c>
      <c r="B19" t="s">
        <v>258</v>
      </c>
      <c r="C19" t="e">
        <f>VLOOKUP(B19,Items!$A$1:$C$56,2,FALSE)</f>
        <v>#N/A</v>
      </c>
      <c r="D19" t="s">
        <v>252</v>
      </c>
      <c r="E19" t="s">
        <v>253</v>
      </c>
      <c r="F19" t="s">
        <v>260</v>
      </c>
      <c r="G19" t="e">
        <f>VLOOKUP(F19,Triggers!$B$2:$C$144,2,FALSE)</f>
        <v>#N/A</v>
      </c>
      <c r="H19" t="e">
        <f>VLOOKUP(F19,Triggers!$B$2:$E$144,3,FALSE)</f>
        <v>#N/A</v>
      </c>
      <c r="I19" t="e">
        <f>VLOOKUP(F19,Triggers!$B$2:$E$144,4,FALSE)</f>
        <v>#N/A</v>
      </c>
    </row>
    <row r="20" spans="1:9" x14ac:dyDescent="0.3">
      <c r="A20" t="e">
        <f>VLOOKUP(B20,Items!$A$1:$E$56,4,FALSE)</f>
        <v>#N/A</v>
      </c>
      <c r="B20" t="s">
        <v>261</v>
      </c>
      <c r="C20" t="e">
        <f>VLOOKUP(B20,Items!$A$1:$C$56,2,FALSE)</f>
        <v>#N/A</v>
      </c>
      <c r="D20" t="s">
        <v>248</v>
      </c>
      <c r="E20" t="s">
        <v>259</v>
      </c>
      <c r="F20" t="s">
        <v>262</v>
      </c>
      <c r="G20" t="e">
        <f>VLOOKUP(F20,Triggers!$B$2:$C$144,2,FALSE)</f>
        <v>#N/A</v>
      </c>
      <c r="H20" t="e">
        <f>VLOOKUP(F20,Triggers!$B$2:$E$144,3,FALSE)</f>
        <v>#N/A</v>
      </c>
      <c r="I20" t="e">
        <f>VLOOKUP(F20,Triggers!$B$2:$E$144,4,FALSE)</f>
        <v>#N/A</v>
      </c>
    </row>
    <row r="21" spans="1:9" x14ac:dyDescent="0.3">
      <c r="A21" t="e">
        <f>VLOOKUP(B21,Items!$A$1:$E$56,4,FALSE)</f>
        <v>#N/A</v>
      </c>
      <c r="B21" t="s">
        <v>261</v>
      </c>
      <c r="C21" t="e">
        <f>VLOOKUP(B21,Items!$A$1:$C$56,2,FALSE)</f>
        <v>#N/A</v>
      </c>
      <c r="D21" t="s">
        <v>250</v>
      </c>
      <c r="E21" t="s">
        <v>251</v>
      </c>
      <c r="F21" t="s">
        <v>262</v>
      </c>
      <c r="G21" t="e">
        <f>VLOOKUP(F21,Triggers!$B$2:$C$144,2,FALSE)</f>
        <v>#N/A</v>
      </c>
      <c r="H21" t="e">
        <f>VLOOKUP(F21,Triggers!$B$2:$E$144,3,FALSE)</f>
        <v>#N/A</v>
      </c>
      <c r="I21" t="e">
        <f>VLOOKUP(F21,Triggers!$B$2:$E$144,4,FALSE)</f>
        <v>#N/A</v>
      </c>
    </row>
    <row r="22" spans="1:9" x14ac:dyDescent="0.3">
      <c r="A22" t="e">
        <f>VLOOKUP(B22,Items!$A$1:$E$56,4,FALSE)</f>
        <v>#N/A</v>
      </c>
      <c r="B22" t="s">
        <v>261</v>
      </c>
      <c r="C22" t="e">
        <f>VLOOKUP(B22,Items!$A$1:$C$56,2,FALSE)</f>
        <v>#N/A</v>
      </c>
      <c r="D22" t="s">
        <v>252</v>
      </c>
      <c r="E22" t="e">
        <f>VLOOKUP(B22,Items!$A$2:$D$56,3,FALSE)</f>
        <v>#N/A</v>
      </c>
      <c r="F22" t="s">
        <v>262</v>
      </c>
      <c r="G22" t="e">
        <f>VLOOKUP(F22,Triggers!$B$2:$C$144,2,FALSE)</f>
        <v>#N/A</v>
      </c>
      <c r="H22" t="e">
        <f>VLOOKUP(F22,Triggers!$B$2:$E$144,3,FALSE)</f>
        <v>#N/A</v>
      </c>
      <c r="I22" t="e">
        <f>VLOOKUP(F22,Triggers!$B$2:$E$144,4,FALSE)</f>
        <v>#N/A</v>
      </c>
    </row>
    <row r="23" spans="1:9" x14ac:dyDescent="0.3">
      <c r="A23" t="e">
        <f>VLOOKUP(B23,Items!$A$1:$E$56,4,FALSE)</f>
        <v>#N/A</v>
      </c>
      <c r="B23" t="s">
        <v>263</v>
      </c>
      <c r="C23" t="e">
        <f>VLOOKUP(B23,Items!$A$1:$C$56,2,FALSE)</f>
        <v>#N/A</v>
      </c>
      <c r="E23" t="e">
        <f>VLOOKUP(B23,Items!$A$2:$D$56,3,FALSE)</f>
        <v>#N/A</v>
      </c>
      <c r="F23" t="s">
        <v>264</v>
      </c>
      <c r="G23" t="e">
        <f>VLOOKUP(F23,Triggers!$B$2:$C$144,2,FALSE)</f>
        <v>#N/A</v>
      </c>
      <c r="H23" t="e">
        <f>VLOOKUP(F23,Triggers!$B$2:$E$144,3,FALSE)</f>
        <v>#N/A</v>
      </c>
      <c r="I23" t="e">
        <f>VLOOKUP(F23,Triggers!$B$2:$E$144,4,FALSE)</f>
        <v>#N/A</v>
      </c>
    </row>
    <row r="24" spans="1:9" x14ac:dyDescent="0.3">
      <c r="A24" t="e">
        <f>VLOOKUP(B24,Items!$A$1:$E$56,4,FALSE)</f>
        <v>#N/A</v>
      </c>
      <c r="B24" t="s">
        <v>265</v>
      </c>
      <c r="C24" t="e">
        <f>VLOOKUP(B24,Items!$A$1:$C$56,2,FALSE)</f>
        <v>#N/A</v>
      </c>
      <c r="D24" t="s">
        <v>248</v>
      </c>
      <c r="E24" t="s">
        <v>266</v>
      </c>
      <c r="F24" t="s">
        <v>267</v>
      </c>
      <c r="G24" t="e">
        <f>VLOOKUP(F24,Triggers!$B$2:$C$144,2,FALSE)</f>
        <v>#N/A</v>
      </c>
      <c r="H24" t="e">
        <f>VLOOKUP(F24,Triggers!$B$2:$E$144,3,FALSE)</f>
        <v>#N/A</v>
      </c>
      <c r="I24" t="e">
        <f>VLOOKUP(F24,Triggers!$B$2:$E$144,4,FALSE)</f>
        <v>#N/A</v>
      </c>
    </row>
    <row r="25" spans="1:9" x14ac:dyDescent="0.3">
      <c r="A25" t="e">
        <f>VLOOKUP(B25,Items!$A$1:$E$56,4,FALSE)</f>
        <v>#N/A</v>
      </c>
      <c r="B25" t="s">
        <v>265</v>
      </c>
      <c r="C25" t="e">
        <f>VLOOKUP(B25,Items!$A$1:$C$56,2,FALSE)</f>
        <v>#N/A</v>
      </c>
      <c r="D25" t="s">
        <v>250</v>
      </c>
      <c r="E25" t="e">
        <f>VLOOKUP(B25,Items!$A$2:$D$56,3,FALSE)</f>
        <v>#N/A</v>
      </c>
      <c r="F25" t="s">
        <v>267</v>
      </c>
      <c r="G25" t="e">
        <f>VLOOKUP(F25,Triggers!$B$2:$C$144,2,FALSE)</f>
        <v>#N/A</v>
      </c>
      <c r="H25" t="e">
        <f>VLOOKUP(F25,Triggers!$B$2:$E$144,3,FALSE)</f>
        <v>#N/A</v>
      </c>
      <c r="I25" t="e">
        <f>VLOOKUP(F25,Triggers!$B$2:$E$144,4,FALSE)</f>
        <v>#N/A</v>
      </c>
    </row>
    <row r="26" spans="1:9" x14ac:dyDescent="0.3">
      <c r="A26" t="e">
        <f>VLOOKUP(B26,Items!$A$1:$E$56,4,FALSE)</f>
        <v>#N/A</v>
      </c>
      <c r="B26" t="s">
        <v>265</v>
      </c>
      <c r="C26" t="e">
        <f>VLOOKUP(B26,Items!$A$1:$C$56,2,FALSE)</f>
        <v>#N/A</v>
      </c>
      <c r="D26" t="s">
        <v>252</v>
      </c>
      <c r="E26" t="s">
        <v>268</v>
      </c>
      <c r="F26" t="s">
        <v>267</v>
      </c>
      <c r="G26" t="e">
        <f>VLOOKUP(F26,Triggers!$B$2:$C$144,2,FALSE)</f>
        <v>#N/A</v>
      </c>
      <c r="H26" t="e">
        <f>VLOOKUP(F26,Triggers!$B$2:$E$144,3,FALSE)</f>
        <v>#N/A</v>
      </c>
      <c r="I26" t="e">
        <f>VLOOKUP(F26,Triggers!$B$2:$E$144,4,FALSE)</f>
        <v>#N/A</v>
      </c>
    </row>
    <row r="27" spans="1:9" x14ac:dyDescent="0.3">
      <c r="A27" t="e">
        <f>VLOOKUP(B27,Items!$A$1:$E$56,4,FALSE)</f>
        <v>#N/A</v>
      </c>
      <c r="B27" t="s">
        <v>269</v>
      </c>
      <c r="C27" t="e">
        <f>VLOOKUP(B27,Items!$A$1:$C$56,2,FALSE)</f>
        <v>#N/A</v>
      </c>
      <c r="D27" t="s">
        <v>248</v>
      </c>
      <c r="E27" t="e">
        <f>VLOOKUP(B27,Items!$A$2:$D$56,3,FALSE)</f>
        <v>#N/A</v>
      </c>
      <c r="F27" t="s">
        <v>270</v>
      </c>
      <c r="G27" t="e">
        <f>VLOOKUP(F27,Triggers!$B$2:$C$144,2,FALSE)</f>
        <v>#N/A</v>
      </c>
      <c r="H27" t="e">
        <f>VLOOKUP(F27,Triggers!$B$2:$E$144,3,FALSE)</f>
        <v>#N/A</v>
      </c>
      <c r="I27" t="e">
        <f>VLOOKUP(F27,Triggers!$B$2:$E$144,4,FALSE)</f>
        <v>#N/A</v>
      </c>
    </row>
    <row r="28" spans="1:9" x14ac:dyDescent="0.3">
      <c r="A28" t="e">
        <f>VLOOKUP(B28,Items!$A$1:$E$56,4,FALSE)</f>
        <v>#N/A</v>
      </c>
      <c r="B28" t="s">
        <v>269</v>
      </c>
      <c r="C28" t="e">
        <f>VLOOKUP(B28,Items!$A$1:$C$56,2,FALSE)</f>
        <v>#N/A</v>
      </c>
      <c r="D28" t="s">
        <v>250</v>
      </c>
      <c r="E28" t="s">
        <v>271</v>
      </c>
      <c r="F28" t="s">
        <v>270</v>
      </c>
      <c r="G28" t="e">
        <f>VLOOKUP(F28,Triggers!$B$2:$C$144,2,FALSE)</f>
        <v>#N/A</v>
      </c>
      <c r="H28" t="e">
        <f>VLOOKUP(F28,Triggers!$B$2:$E$144,3,FALSE)</f>
        <v>#N/A</v>
      </c>
      <c r="I28" t="e">
        <f>VLOOKUP(F28,Triggers!$B$2:$E$144,4,FALSE)</f>
        <v>#N/A</v>
      </c>
    </row>
    <row r="29" spans="1:9" x14ac:dyDescent="0.3">
      <c r="A29" t="e">
        <f>VLOOKUP(B29,Items!$A$1:$E$56,4,FALSE)</f>
        <v>#N/A</v>
      </c>
      <c r="B29" t="s">
        <v>269</v>
      </c>
      <c r="C29" t="e">
        <f>VLOOKUP(B29,Items!$A$1:$C$56,2,FALSE)</f>
        <v>#N/A</v>
      </c>
      <c r="D29" t="s">
        <v>252</v>
      </c>
      <c r="E29" t="s">
        <v>268</v>
      </c>
      <c r="F29" t="s">
        <v>270</v>
      </c>
      <c r="G29" t="e">
        <f>VLOOKUP(F29,Triggers!$B$2:$C$144,2,FALSE)</f>
        <v>#N/A</v>
      </c>
      <c r="H29" t="e">
        <f>VLOOKUP(F29,Triggers!$B$2:$E$144,3,FALSE)</f>
        <v>#N/A</v>
      </c>
      <c r="I29" t="e">
        <f>VLOOKUP(F29,Triggers!$B$2:$E$144,4,FALSE)</f>
        <v>#N/A</v>
      </c>
    </row>
    <row r="30" spans="1:9" x14ac:dyDescent="0.3">
      <c r="A30" t="e">
        <f>VLOOKUP(B30,Items!$A$1:$E$56,4,FALSE)</f>
        <v>#N/A</v>
      </c>
      <c r="B30" t="s">
        <v>272</v>
      </c>
      <c r="C30" t="e">
        <f>VLOOKUP(B30,Items!$A$1:$C$56,2,FALSE)</f>
        <v>#N/A</v>
      </c>
      <c r="E30" t="e">
        <f>VLOOKUP(B30,Items!$A$2:$D$56,3,FALSE)</f>
        <v>#N/A</v>
      </c>
      <c r="F30" t="s">
        <v>273</v>
      </c>
      <c r="G30" t="e">
        <f>VLOOKUP(F30,Triggers!$B$2:$C$144,2,FALSE)</f>
        <v>#N/A</v>
      </c>
      <c r="H30" t="e">
        <f>VLOOKUP(F30,Triggers!$B$2:$E$144,3,FALSE)</f>
        <v>#N/A</v>
      </c>
      <c r="I30" t="e">
        <f>VLOOKUP(F30,Triggers!$B$2:$E$144,4,FALSE)</f>
        <v>#N/A</v>
      </c>
    </row>
    <row r="31" spans="1:9" x14ac:dyDescent="0.3">
      <c r="A31" t="e">
        <f>VLOOKUP(B31,Items!$A$1:$E$56,4,FALSE)</f>
        <v>#N/A</v>
      </c>
      <c r="B31" t="s">
        <v>274</v>
      </c>
      <c r="C31" t="e">
        <f>VLOOKUP(B31,Items!$A$1:$C$56,2,FALSE)</f>
        <v>#N/A</v>
      </c>
      <c r="E31" t="e">
        <f>VLOOKUP(B31,Items!$A$2:$D$56,3,FALSE)</f>
        <v>#N/A</v>
      </c>
      <c r="F31" t="s">
        <v>275</v>
      </c>
      <c r="G31" t="e">
        <f>VLOOKUP(F31,Triggers!$B$2:$C$144,2,FALSE)</f>
        <v>#N/A</v>
      </c>
      <c r="H31" t="e">
        <f>VLOOKUP(F31,Triggers!$B$2:$E$144,3,FALSE)</f>
        <v>#N/A</v>
      </c>
      <c r="I31" t="e">
        <f>VLOOKUP(F31,Triggers!$B$2:$E$144,4,FALSE)</f>
        <v>#N/A</v>
      </c>
    </row>
    <row r="32" spans="1:9" x14ac:dyDescent="0.3">
      <c r="A32" t="e">
        <f>VLOOKUP(B32,Items!$A$1:$E$56,4,FALSE)</f>
        <v>#N/A</v>
      </c>
      <c r="B32" t="s">
        <v>276</v>
      </c>
      <c r="C32" t="e">
        <f>VLOOKUP(B32,Items!$A$1:$C$56,2,FALSE)</f>
        <v>#N/A</v>
      </c>
      <c r="E32" t="e">
        <f>VLOOKUP(B32,Items!$A$2:$D$56,3,FALSE)</f>
        <v>#N/A</v>
      </c>
      <c r="F32" t="s">
        <v>277</v>
      </c>
      <c r="G32" t="e">
        <f>VLOOKUP(F32,Triggers!$B$2:$C$144,2,FALSE)</f>
        <v>#N/A</v>
      </c>
      <c r="H32" t="e">
        <f>VLOOKUP(F32,Triggers!$B$2:$E$144,3,FALSE)</f>
        <v>#N/A</v>
      </c>
      <c r="I32" t="e">
        <f>VLOOKUP(F32,Triggers!$B$2:$E$144,4,FALSE)</f>
        <v>#N/A</v>
      </c>
    </row>
    <row r="33" spans="1:9" x14ac:dyDescent="0.3">
      <c r="A33" t="e">
        <f>VLOOKUP(B33,Items!$A$1:$E$56,4,FALSE)</f>
        <v>#N/A</v>
      </c>
      <c r="B33" t="s">
        <v>278</v>
      </c>
      <c r="C33" t="e">
        <f>VLOOKUP(B33,Items!$A$1:$C$56,2,FALSE)</f>
        <v>#N/A</v>
      </c>
      <c r="E33" t="e">
        <f>VLOOKUP(B33,Items!$A$2:$D$56,3,FALSE)</f>
        <v>#N/A</v>
      </c>
      <c r="F33" t="s">
        <v>279</v>
      </c>
      <c r="G33" t="e">
        <f>VLOOKUP(F33,Triggers!$B$2:$C$144,2,FALSE)</f>
        <v>#N/A</v>
      </c>
      <c r="H33" t="e">
        <f>VLOOKUP(F33,Triggers!$B$2:$E$144,3,FALSE)</f>
        <v>#N/A</v>
      </c>
      <c r="I33" t="e">
        <f>VLOOKUP(F33,Triggers!$B$2:$E$144,4,FALSE)</f>
        <v>#N/A</v>
      </c>
    </row>
    <row r="34" spans="1:9" x14ac:dyDescent="0.3">
      <c r="A34" t="e">
        <f>VLOOKUP(B34,Items!$A$1:$E$56,4,FALSE)</f>
        <v>#N/A</v>
      </c>
      <c r="B34" t="s">
        <v>280</v>
      </c>
      <c r="C34" t="e">
        <f>VLOOKUP(B34,Items!$A$1:$C$56,2,FALSE)</f>
        <v>#N/A</v>
      </c>
      <c r="E34" t="e">
        <f>VLOOKUP(B34,Items!$A$2:$D$56,3,FALSE)</f>
        <v>#N/A</v>
      </c>
      <c r="F34" t="s">
        <v>281</v>
      </c>
      <c r="G34" t="e">
        <f>VLOOKUP(F34,Triggers!$B$2:$C$144,2,FALSE)</f>
        <v>#N/A</v>
      </c>
      <c r="H34" t="e">
        <f>VLOOKUP(F34,Triggers!$B$2:$E$144,3,FALSE)</f>
        <v>#N/A</v>
      </c>
      <c r="I34" t="e">
        <f>VLOOKUP(F34,Triggers!$B$2:$E$144,4,FALSE)</f>
        <v>#N/A</v>
      </c>
    </row>
    <row r="35" spans="1:9" x14ac:dyDescent="0.3">
      <c r="A35" t="e">
        <f>VLOOKUP(B35,Items!$A$1:$E$56,4,FALSE)</f>
        <v>#N/A</v>
      </c>
      <c r="B35" t="s">
        <v>282</v>
      </c>
      <c r="C35" t="e">
        <f>VLOOKUP(B35,Items!$A$1:$C$56,2,FALSE)</f>
        <v>#N/A</v>
      </c>
      <c r="E35" t="e">
        <f>VLOOKUP(B35,Items!$A$2:$D$56,3,FALSE)</f>
        <v>#N/A</v>
      </c>
      <c r="F35" t="s">
        <v>283</v>
      </c>
      <c r="G35" t="e">
        <f>VLOOKUP(F35,Triggers!$B$2:$C$144,2,FALSE)</f>
        <v>#N/A</v>
      </c>
      <c r="H35" t="e">
        <f>VLOOKUP(F35,Triggers!$B$2:$E$144,3,FALSE)</f>
        <v>#N/A</v>
      </c>
      <c r="I35" t="e">
        <f>VLOOKUP(F35,Triggers!$B$2:$E$144,4,FALSE)</f>
        <v>#N/A</v>
      </c>
    </row>
    <row r="36" spans="1:9" x14ac:dyDescent="0.3">
      <c r="A36" t="e">
        <f>VLOOKUP(B36,Items!$A$1:$E$56,4,FALSE)</f>
        <v>#N/A</v>
      </c>
      <c r="B36" t="s">
        <v>284</v>
      </c>
      <c r="C36" t="e">
        <f>VLOOKUP(B36,Items!$A$1:$C$56,2,FALSE)</f>
        <v>#N/A</v>
      </c>
      <c r="E36" t="e">
        <f>VLOOKUP(B36,Items!$A$2:$D$56,3,FALSE)</f>
        <v>#N/A</v>
      </c>
      <c r="F36" t="s">
        <v>285</v>
      </c>
      <c r="G36" t="e">
        <f>VLOOKUP(F36,Triggers!$B$2:$C$144,2,FALSE)</f>
        <v>#N/A</v>
      </c>
      <c r="H36" t="e">
        <f>VLOOKUP(F36,Triggers!$B$2:$E$144,3,FALSE)</f>
        <v>#N/A</v>
      </c>
      <c r="I36" t="e">
        <f>VLOOKUP(F36,Triggers!$B$2:$E$144,4,FALSE)</f>
        <v>#N/A</v>
      </c>
    </row>
    <row r="37" spans="1:9" x14ac:dyDescent="0.3">
      <c r="A37" t="e">
        <f>VLOOKUP(B37,Items!$A$1:$E$56,4,FALSE)</f>
        <v>#N/A</v>
      </c>
      <c r="B37" t="s">
        <v>286</v>
      </c>
      <c r="C37" t="e">
        <f>VLOOKUP(B37,Items!$A$1:$C$56,2,FALSE)</f>
        <v>#N/A</v>
      </c>
      <c r="E37" t="e">
        <f>VLOOKUP(B37,Items!$A$2:$D$56,3,FALSE)</f>
        <v>#N/A</v>
      </c>
      <c r="F37" t="s">
        <v>287</v>
      </c>
      <c r="G37" t="e">
        <f>VLOOKUP(F37,Triggers!$B$2:$C$144,2,FALSE)</f>
        <v>#N/A</v>
      </c>
      <c r="H37" t="e">
        <f>VLOOKUP(F37,Triggers!$B$2:$E$144,3,FALSE)</f>
        <v>#N/A</v>
      </c>
      <c r="I37" t="e">
        <f>VLOOKUP(F37,Triggers!$B$2:$E$144,4,FALSE)</f>
        <v>#N/A</v>
      </c>
    </row>
    <row r="38" spans="1:9" x14ac:dyDescent="0.3">
      <c r="A38" t="e">
        <f>VLOOKUP(B38,Items!$A$1:$E$56,4,FALSE)</f>
        <v>#N/A</v>
      </c>
      <c r="B38" t="s">
        <v>288</v>
      </c>
      <c r="C38" t="e">
        <f>VLOOKUP(B38,Items!$A$1:$C$56,2,FALSE)</f>
        <v>#N/A</v>
      </c>
      <c r="E38" t="e">
        <f>VLOOKUP(B38,Items!$A$2:$D$56,3,FALSE)</f>
        <v>#N/A</v>
      </c>
      <c r="F38" t="s">
        <v>270</v>
      </c>
      <c r="G38" t="e">
        <f>VLOOKUP(F38,Triggers!$B$2:$C$144,2,FALSE)</f>
        <v>#N/A</v>
      </c>
      <c r="H38" t="e">
        <f>VLOOKUP(F38,Triggers!$B$2:$E$144,3,FALSE)</f>
        <v>#N/A</v>
      </c>
      <c r="I38" t="e">
        <f>VLOOKUP(F38,Triggers!$B$2:$E$144,4,FALSE)</f>
        <v>#N/A</v>
      </c>
    </row>
    <row r="39" spans="1:9" x14ac:dyDescent="0.3">
      <c r="A39" t="e">
        <f>VLOOKUP(B39,Items!$A$1:$E$56,4,FALSE)</f>
        <v>#N/A</v>
      </c>
      <c r="B39" t="s">
        <v>289</v>
      </c>
      <c r="C39" t="e">
        <f>VLOOKUP(B39,Items!$A$1:$C$56,2,FALSE)</f>
        <v>#N/A</v>
      </c>
      <c r="D39" t="s">
        <v>248</v>
      </c>
      <c r="E39" t="e">
        <f>VLOOKUP(B39,Items!$A$2:$D$56,3,FALSE)</f>
        <v>#N/A</v>
      </c>
      <c r="F39" t="s">
        <v>290</v>
      </c>
      <c r="G39" t="e">
        <f>VLOOKUP(F39,Triggers!$B$2:$C$144,2,FALSE)</f>
        <v>#N/A</v>
      </c>
      <c r="H39" t="e">
        <f>VLOOKUP(F39,Triggers!$B$2:$E$144,3,FALSE)</f>
        <v>#N/A</v>
      </c>
      <c r="I39" t="e">
        <f>VLOOKUP(F39,Triggers!$B$2:$E$144,4,FALSE)</f>
        <v>#N/A</v>
      </c>
    </row>
    <row r="40" spans="1:9" x14ac:dyDescent="0.3">
      <c r="A40" t="e">
        <f>VLOOKUP(B40,Items!$A$1:$E$56,4,FALSE)</f>
        <v>#N/A</v>
      </c>
      <c r="B40" t="s">
        <v>289</v>
      </c>
      <c r="C40" t="e">
        <f>VLOOKUP(B40,Items!$A$1:$C$56,2,FALSE)</f>
        <v>#N/A</v>
      </c>
      <c r="D40" t="s">
        <v>250</v>
      </c>
      <c r="E40" t="s">
        <v>291</v>
      </c>
      <c r="F40" t="s">
        <v>290</v>
      </c>
      <c r="G40" t="e">
        <f>VLOOKUP(F40,Triggers!$B$2:$C$144,2,FALSE)</f>
        <v>#N/A</v>
      </c>
      <c r="H40" t="e">
        <f>VLOOKUP(F40,Triggers!$B$2:$E$144,3,FALSE)</f>
        <v>#N/A</v>
      </c>
      <c r="I40" t="e">
        <f>VLOOKUP(F40,Triggers!$B$2:$E$144,4,FALSE)</f>
        <v>#N/A</v>
      </c>
    </row>
    <row r="41" spans="1:9" x14ac:dyDescent="0.3">
      <c r="A41" t="e">
        <f>VLOOKUP(B41,Items!$A$1:$E$56,4,FALSE)</f>
        <v>#N/A</v>
      </c>
      <c r="B41" t="s">
        <v>289</v>
      </c>
      <c r="C41" t="e">
        <f>VLOOKUP(B41,Items!$A$1:$C$56,2,FALSE)</f>
        <v>#N/A</v>
      </c>
      <c r="D41" t="s">
        <v>252</v>
      </c>
      <c r="E41" t="s">
        <v>292</v>
      </c>
      <c r="F41" t="s">
        <v>290</v>
      </c>
      <c r="G41" t="e">
        <f>VLOOKUP(F41,Triggers!$B$2:$C$144,2,FALSE)</f>
        <v>#N/A</v>
      </c>
      <c r="H41" t="e">
        <f>VLOOKUP(F41,Triggers!$B$2:$E$144,3,FALSE)</f>
        <v>#N/A</v>
      </c>
      <c r="I41" t="e">
        <f>VLOOKUP(F41,Triggers!$B$2:$E$144,4,FALSE)</f>
        <v>#N/A</v>
      </c>
    </row>
    <row r="42" spans="1:9" x14ac:dyDescent="0.3">
      <c r="A42" t="e">
        <f>VLOOKUP(B42,Items!$A$1:$E$56,4,FALSE)</f>
        <v>#N/A</v>
      </c>
      <c r="B42" t="s">
        <v>293</v>
      </c>
      <c r="C42" t="e">
        <f>VLOOKUP(B42,Items!$A$1:$C$56,2,FALSE)</f>
        <v>#N/A</v>
      </c>
      <c r="D42" t="s">
        <v>248</v>
      </c>
      <c r="E42" t="s">
        <v>294</v>
      </c>
      <c r="F42" t="s">
        <v>295</v>
      </c>
      <c r="G42" t="e">
        <f>VLOOKUP(F42,Triggers!$B$2:$C$144,2,FALSE)</f>
        <v>#N/A</v>
      </c>
      <c r="H42" t="e">
        <f>VLOOKUP(F42,Triggers!$B$2:$E$144,3,FALSE)</f>
        <v>#N/A</v>
      </c>
      <c r="I42" t="e">
        <f>VLOOKUP(F42,Triggers!$B$2:$E$144,4,FALSE)</f>
        <v>#N/A</v>
      </c>
    </row>
    <row r="43" spans="1:9" x14ac:dyDescent="0.3">
      <c r="A43" t="e">
        <f>VLOOKUP(B43,Items!$A$1:$E$56,4,FALSE)</f>
        <v>#N/A</v>
      </c>
      <c r="B43" t="s">
        <v>293</v>
      </c>
      <c r="C43" t="e">
        <f>VLOOKUP(B43,Items!$A$1:$C$56,2,FALSE)</f>
        <v>#N/A</v>
      </c>
      <c r="D43" t="s">
        <v>250</v>
      </c>
      <c r="E43" t="e">
        <f>VLOOKUP(B43,Items!$A$2:$D$56,3,FALSE)</f>
        <v>#N/A</v>
      </c>
      <c r="F43" t="s">
        <v>295</v>
      </c>
      <c r="G43" t="e">
        <f>VLOOKUP(F43,Triggers!$B$2:$C$144,2,FALSE)</f>
        <v>#N/A</v>
      </c>
      <c r="H43" t="e">
        <f>VLOOKUP(F43,Triggers!$B$2:$E$144,3,FALSE)</f>
        <v>#N/A</v>
      </c>
      <c r="I43" t="e">
        <f>VLOOKUP(F43,Triggers!$B$2:$E$144,4,FALSE)</f>
        <v>#N/A</v>
      </c>
    </row>
    <row r="44" spans="1:9" x14ac:dyDescent="0.3">
      <c r="A44" t="e">
        <f>VLOOKUP(B44,Items!$A$1:$E$56,4,FALSE)</f>
        <v>#N/A</v>
      </c>
      <c r="B44" t="s">
        <v>293</v>
      </c>
      <c r="C44" t="e">
        <f>VLOOKUP(B44,Items!$A$1:$C$56,2,FALSE)</f>
        <v>#N/A</v>
      </c>
      <c r="D44" t="s">
        <v>252</v>
      </c>
      <c r="E44" t="s">
        <v>292</v>
      </c>
      <c r="F44" t="s">
        <v>295</v>
      </c>
      <c r="G44" t="e">
        <f>VLOOKUP(F44,Triggers!$B$2:$C$144,2,FALSE)</f>
        <v>#N/A</v>
      </c>
      <c r="H44" t="e">
        <f>VLOOKUP(F44,Triggers!$B$2:$E$144,3,FALSE)</f>
        <v>#N/A</v>
      </c>
      <c r="I44" t="e">
        <f>VLOOKUP(F44,Triggers!$B$2:$E$144,4,FALSE)</f>
        <v>#N/A</v>
      </c>
    </row>
    <row r="45" spans="1:9" x14ac:dyDescent="0.3">
      <c r="A45" t="e">
        <f>VLOOKUP(B45,Items!$A$1:$E$56,4,FALSE)</f>
        <v>#N/A</v>
      </c>
      <c r="B45" t="s">
        <v>296</v>
      </c>
      <c r="C45" t="e">
        <f>VLOOKUP(B45,Items!$A$1:$C$56,2,FALSE)</f>
        <v>#N/A</v>
      </c>
      <c r="D45" t="s">
        <v>248</v>
      </c>
      <c r="E45" t="s">
        <v>294</v>
      </c>
      <c r="F45" t="s">
        <v>297</v>
      </c>
      <c r="G45" t="e">
        <f>VLOOKUP(F45,Triggers!$B$2:$C$144,2,FALSE)</f>
        <v>#N/A</v>
      </c>
      <c r="H45" t="e">
        <f>VLOOKUP(F45,Triggers!$B$2:$E$144,3,FALSE)</f>
        <v>#N/A</v>
      </c>
      <c r="I45" t="e">
        <f>VLOOKUP(F45,Triggers!$B$2:$E$144,4,FALSE)</f>
        <v>#N/A</v>
      </c>
    </row>
    <row r="46" spans="1:9" x14ac:dyDescent="0.3">
      <c r="A46" t="e">
        <f>VLOOKUP(B46,Items!$A$1:$E$56,4,FALSE)</f>
        <v>#N/A</v>
      </c>
      <c r="B46" t="s">
        <v>296</v>
      </c>
      <c r="C46" t="e">
        <f>VLOOKUP(B46,Items!$A$1:$C$56,2,FALSE)</f>
        <v>#N/A</v>
      </c>
      <c r="D46" t="s">
        <v>250</v>
      </c>
      <c r="E46" t="s">
        <v>291</v>
      </c>
      <c r="F46" t="s">
        <v>297</v>
      </c>
      <c r="G46" t="e">
        <f>VLOOKUP(F46,Triggers!$B$2:$C$144,2,FALSE)</f>
        <v>#N/A</v>
      </c>
      <c r="H46" t="e">
        <f>VLOOKUP(F46,Triggers!$B$2:$E$144,3,FALSE)</f>
        <v>#N/A</v>
      </c>
      <c r="I46" t="e">
        <f>VLOOKUP(F46,Triggers!$B$2:$E$144,4,FALSE)</f>
        <v>#N/A</v>
      </c>
    </row>
    <row r="47" spans="1:9" x14ac:dyDescent="0.3">
      <c r="A47" t="e">
        <f>VLOOKUP(B47,Items!$A$1:$E$56,4,FALSE)</f>
        <v>#N/A</v>
      </c>
      <c r="B47" t="s">
        <v>296</v>
      </c>
      <c r="C47" t="e">
        <f>VLOOKUP(B47,Items!$A$1:$C$56,2,FALSE)</f>
        <v>#N/A</v>
      </c>
      <c r="D47" t="s">
        <v>252</v>
      </c>
      <c r="E47" t="e">
        <f>VLOOKUP(B47,Items!$A$2:$D$56,3,FALSE)</f>
        <v>#N/A</v>
      </c>
      <c r="F47" t="s">
        <v>297</v>
      </c>
      <c r="G47" t="e">
        <f>VLOOKUP(F47,Triggers!$B$2:$C$144,2,FALSE)</f>
        <v>#N/A</v>
      </c>
      <c r="H47" t="e">
        <f>VLOOKUP(F47,Triggers!$B$2:$E$144,3,FALSE)</f>
        <v>#N/A</v>
      </c>
      <c r="I47" t="e">
        <f>VLOOKUP(F47,Triggers!$B$2:$E$144,4,FALSE)</f>
        <v>#N/A</v>
      </c>
    </row>
    <row r="48" spans="1:9" x14ac:dyDescent="0.3">
      <c r="A48" t="e">
        <f>VLOOKUP(B48,Items!$A$1:$E$56,4,FALSE)</f>
        <v>#N/A</v>
      </c>
      <c r="B48" t="s">
        <v>298</v>
      </c>
      <c r="C48" t="e">
        <f>VLOOKUP(B48,Items!$A$1:$C$56,2,FALSE)</f>
        <v>#N/A</v>
      </c>
      <c r="D48" t="s">
        <v>248</v>
      </c>
      <c r="E48" t="s">
        <v>294</v>
      </c>
      <c r="F48" t="s">
        <v>299</v>
      </c>
      <c r="G48" t="e">
        <f>VLOOKUP(F48,Triggers!$B$2:$C$144,2,FALSE)</f>
        <v>#N/A</v>
      </c>
      <c r="H48" t="e">
        <f>VLOOKUP(F48,Triggers!$B$2:$E$144,3,FALSE)</f>
        <v>#N/A</v>
      </c>
      <c r="I48" t="e">
        <f>VLOOKUP(F48,Triggers!$B$2:$E$144,4,FALSE)</f>
        <v>#N/A</v>
      </c>
    </row>
    <row r="49" spans="1:9" x14ac:dyDescent="0.3">
      <c r="A49" t="e">
        <f>VLOOKUP(B49,Items!$A$1:$E$56,4,FALSE)</f>
        <v>#N/A</v>
      </c>
      <c r="B49" t="s">
        <v>298</v>
      </c>
      <c r="C49" t="e">
        <f>VLOOKUP(B49,Items!$A$1:$C$56,2,FALSE)</f>
        <v>#N/A</v>
      </c>
      <c r="D49" t="s">
        <v>250</v>
      </c>
      <c r="E49" t="e">
        <f>VLOOKUP(B49,Items!$A$2:$D$56,3,FALSE)</f>
        <v>#N/A</v>
      </c>
      <c r="F49" t="s">
        <v>299</v>
      </c>
      <c r="G49" t="e">
        <f>VLOOKUP(F49,Triggers!$B$2:$C$144,2,FALSE)</f>
        <v>#N/A</v>
      </c>
      <c r="H49" t="e">
        <f>VLOOKUP(F49,Triggers!$B$2:$E$144,3,FALSE)</f>
        <v>#N/A</v>
      </c>
      <c r="I49" t="e">
        <f>VLOOKUP(F49,Triggers!$B$2:$E$144,4,FALSE)</f>
        <v>#N/A</v>
      </c>
    </row>
    <row r="50" spans="1:9" x14ac:dyDescent="0.3">
      <c r="A50" t="e">
        <f>VLOOKUP(B50,Items!$A$1:$E$56,4,FALSE)</f>
        <v>#N/A</v>
      </c>
      <c r="B50" t="s">
        <v>298</v>
      </c>
      <c r="C50" t="e">
        <f>VLOOKUP(B50,Items!$A$1:$C$56,2,FALSE)</f>
        <v>#N/A</v>
      </c>
      <c r="D50" t="s">
        <v>252</v>
      </c>
      <c r="E50" t="s">
        <v>292</v>
      </c>
      <c r="F50" t="s">
        <v>299</v>
      </c>
      <c r="G50" t="e">
        <f>VLOOKUP(F50,Triggers!$B$2:$C$144,2,FALSE)</f>
        <v>#N/A</v>
      </c>
      <c r="H50" t="e">
        <f>VLOOKUP(F50,Triggers!$B$2:$E$144,3,FALSE)</f>
        <v>#N/A</v>
      </c>
      <c r="I50" t="e">
        <f>VLOOKUP(F50,Triggers!$B$2:$E$144,4,FALSE)</f>
        <v>#N/A</v>
      </c>
    </row>
    <row r="51" spans="1:9" x14ac:dyDescent="0.3">
      <c r="A51" t="e">
        <f>VLOOKUP(B51,Items!$A$1:$E$56,4,FALSE)</f>
        <v>#N/A</v>
      </c>
      <c r="B51" t="s">
        <v>300</v>
      </c>
      <c r="C51" t="e">
        <f>VLOOKUP(B51,Items!$A$1:$C$56,2,FALSE)</f>
        <v>#N/A</v>
      </c>
      <c r="D51" t="s">
        <v>248</v>
      </c>
      <c r="E51" t="s">
        <v>294</v>
      </c>
      <c r="F51" t="s">
        <v>301</v>
      </c>
      <c r="G51" t="e">
        <f>VLOOKUP(F51,Triggers!$B$2:$C$144,2,FALSE)</f>
        <v>#N/A</v>
      </c>
      <c r="H51" t="e">
        <f>VLOOKUP(F51,Triggers!$B$2:$E$144,3,FALSE)</f>
        <v>#N/A</v>
      </c>
      <c r="I51" t="e">
        <f>VLOOKUP(F51,Triggers!$B$2:$E$144,4,FALSE)</f>
        <v>#N/A</v>
      </c>
    </row>
    <row r="52" spans="1:9" x14ac:dyDescent="0.3">
      <c r="A52" t="e">
        <f>VLOOKUP(B52,Items!$A$1:$E$56,4,FALSE)</f>
        <v>#N/A</v>
      </c>
      <c r="B52" t="s">
        <v>300</v>
      </c>
      <c r="C52" t="e">
        <f>VLOOKUP(B52,Items!$A$1:$C$56,2,FALSE)</f>
        <v>#N/A</v>
      </c>
      <c r="D52" t="s">
        <v>250</v>
      </c>
      <c r="E52" t="s">
        <v>291</v>
      </c>
      <c r="F52" t="s">
        <v>301</v>
      </c>
      <c r="G52" t="e">
        <f>VLOOKUP(F52,Triggers!$B$2:$C$144,2,FALSE)</f>
        <v>#N/A</v>
      </c>
      <c r="H52" t="e">
        <f>VLOOKUP(F52,Triggers!$B$2:$E$144,3,FALSE)</f>
        <v>#N/A</v>
      </c>
      <c r="I52" t="e">
        <f>VLOOKUP(F52,Triggers!$B$2:$E$144,4,FALSE)</f>
        <v>#N/A</v>
      </c>
    </row>
    <row r="53" spans="1:9" x14ac:dyDescent="0.3">
      <c r="A53" t="e">
        <f>VLOOKUP(B53,Items!$A$1:$E$56,4,FALSE)</f>
        <v>#N/A</v>
      </c>
      <c r="B53" t="s">
        <v>300</v>
      </c>
      <c r="C53" t="e">
        <f>VLOOKUP(B53,Items!$A$1:$C$56,2,FALSE)</f>
        <v>#N/A</v>
      </c>
      <c r="D53" t="s">
        <v>252</v>
      </c>
      <c r="E53" t="e">
        <f>VLOOKUP(B53,Items!$A$2:$D$56,3,FALSE)</f>
        <v>#N/A</v>
      </c>
      <c r="F53" t="s">
        <v>301</v>
      </c>
      <c r="G53" t="e">
        <f>VLOOKUP(F53,Triggers!$B$2:$C$144,2,FALSE)</f>
        <v>#N/A</v>
      </c>
      <c r="H53" t="e">
        <f>VLOOKUP(F53,Triggers!$B$2:$E$144,3,FALSE)</f>
        <v>#N/A</v>
      </c>
      <c r="I53" t="e">
        <f>VLOOKUP(F53,Triggers!$B$2:$E$144,4,FALSE)</f>
        <v>#N/A</v>
      </c>
    </row>
    <row r="54" spans="1:9" x14ac:dyDescent="0.3">
      <c r="A54" t="e">
        <f>VLOOKUP(B54,Items!$A$1:$E$56,4,FALSE)</f>
        <v>#N/A</v>
      </c>
      <c r="B54" t="s">
        <v>302</v>
      </c>
      <c r="C54" t="e">
        <f>VLOOKUP(B54,Items!$A$1:$C$56,2,FALSE)</f>
        <v>#N/A</v>
      </c>
      <c r="D54" t="s">
        <v>248</v>
      </c>
      <c r="E54" t="e">
        <f>VLOOKUP(B54,Items!$A$2:$D$56,3,FALSE)</f>
        <v>#N/A</v>
      </c>
      <c r="F54" t="s">
        <v>303</v>
      </c>
      <c r="G54" t="e">
        <f>VLOOKUP(F54,Triggers!$B$2:$C$144,2,FALSE)</f>
        <v>#N/A</v>
      </c>
      <c r="H54" t="e">
        <f>VLOOKUP(F54,Triggers!$B$2:$E$144,3,FALSE)</f>
        <v>#N/A</v>
      </c>
      <c r="I54" t="e">
        <f>VLOOKUP(F54,Triggers!$B$2:$E$144,4,FALSE)</f>
        <v>#N/A</v>
      </c>
    </row>
    <row r="55" spans="1:9" x14ac:dyDescent="0.3">
      <c r="A55" t="e">
        <f>VLOOKUP(B55,Items!$A$1:$E$56,4,FALSE)</f>
        <v>#N/A</v>
      </c>
      <c r="B55" t="s">
        <v>302</v>
      </c>
      <c r="C55" t="e">
        <f>VLOOKUP(B55,Items!$A$1:$C$56,2,FALSE)</f>
        <v>#N/A</v>
      </c>
      <c r="D55" t="s">
        <v>250</v>
      </c>
      <c r="E55" t="s">
        <v>291</v>
      </c>
      <c r="F55" t="s">
        <v>303</v>
      </c>
      <c r="G55" t="e">
        <f>VLOOKUP(F55,Triggers!$B$2:$C$144,2,FALSE)</f>
        <v>#N/A</v>
      </c>
      <c r="H55" t="e">
        <f>VLOOKUP(F55,Triggers!$B$2:$E$144,3,FALSE)</f>
        <v>#N/A</v>
      </c>
      <c r="I55" t="e">
        <f>VLOOKUP(F55,Triggers!$B$2:$E$144,4,FALSE)</f>
        <v>#N/A</v>
      </c>
    </row>
    <row r="56" spans="1:9" x14ac:dyDescent="0.3">
      <c r="A56" t="e">
        <f>VLOOKUP(B56,Items!$A$1:$E$56,4,FALSE)</f>
        <v>#N/A</v>
      </c>
      <c r="B56" t="s">
        <v>302</v>
      </c>
      <c r="C56" t="e">
        <f>VLOOKUP(B56,Items!$A$1:$C$56,2,FALSE)</f>
        <v>#N/A</v>
      </c>
      <c r="D56" t="s">
        <v>252</v>
      </c>
      <c r="E56" t="s">
        <v>292</v>
      </c>
      <c r="F56" t="s">
        <v>303</v>
      </c>
      <c r="G56" t="e">
        <f>VLOOKUP(F56,Triggers!$B$2:$C$144,2,FALSE)</f>
        <v>#N/A</v>
      </c>
      <c r="H56" t="e">
        <f>VLOOKUP(F56,Triggers!$B$2:$E$144,3,FALSE)</f>
        <v>#N/A</v>
      </c>
      <c r="I56" t="e">
        <f>VLOOKUP(F56,Triggers!$B$2:$E$144,4,FALSE)</f>
        <v>#N/A</v>
      </c>
    </row>
    <row r="57" spans="1:9" x14ac:dyDescent="0.3">
      <c r="A57" t="e">
        <f>VLOOKUP(B57,Items!$A$1:$E$56,4,FALSE)</f>
        <v>#N/A</v>
      </c>
      <c r="B57" t="s">
        <v>304</v>
      </c>
      <c r="C57" t="e">
        <f>VLOOKUP(B57,Items!$A$1:$C$56,2,FALSE)</f>
        <v>#N/A</v>
      </c>
      <c r="E57" t="s">
        <v>305</v>
      </c>
      <c r="F57" t="s">
        <v>306</v>
      </c>
      <c r="G57" t="e">
        <f>VLOOKUP(F57,Triggers!$B$2:$C$144,2,FALSE)</f>
        <v>#N/A</v>
      </c>
      <c r="H57" t="e">
        <f>VLOOKUP(F57,Triggers!$B$2:$E$144,3,FALSE)</f>
        <v>#N/A</v>
      </c>
      <c r="I57" t="e">
        <f>VLOOKUP(F57,Triggers!$B$2:$E$144,4,FALSE)</f>
        <v>#N/A</v>
      </c>
    </row>
    <row r="58" spans="1:9" x14ac:dyDescent="0.3">
      <c r="A58" t="e">
        <f>VLOOKUP(B58,Items!$A$1:$E$56,4,FALSE)</f>
        <v>#N/A</v>
      </c>
      <c r="B58" t="s">
        <v>307</v>
      </c>
      <c r="C58" t="e">
        <f>VLOOKUP(B58,Items!$A$1:$C$56,2,FALSE)</f>
        <v>#N/A</v>
      </c>
      <c r="E58" t="e">
        <f>VLOOKUP(B58,Items!$A$2:$D$56,3,FALSE)</f>
        <v>#N/A</v>
      </c>
      <c r="F58" t="s">
        <v>308</v>
      </c>
      <c r="G58" t="e">
        <f>VLOOKUP(F58,Triggers!$B$2:$C$144,2,FALSE)</f>
        <v>#N/A</v>
      </c>
      <c r="H58" t="e">
        <f>VLOOKUP(F58,Triggers!$B$2:$E$144,3,FALSE)</f>
        <v>#N/A</v>
      </c>
      <c r="I58" t="e">
        <f>VLOOKUP(F58,Triggers!$B$2:$E$144,4,FALSE)</f>
        <v>#N/A</v>
      </c>
    </row>
    <row r="59" spans="1:9" x14ac:dyDescent="0.3">
      <c r="A59" t="e">
        <f>VLOOKUP(B59,Items!$A$1:$E$56,4,FALSE)</f>
        <v>#N/A</v>
      </c>
      <c r="B59" t="s">
        <v>309</v>
      </c>
      <c r="C59" t="e">
        <f>VLOOKUP(B59,Items!$A$1:$C$56,2,FALSE)</f>
        <v>#N/A</v>
      </c>
      <c r="D59" t="s">
        <v>248</v>
      </c>
      <c r="E59" t="e">
        <f>VLOOKUP(B59,Items!$A$2:$D$56,3,FALSE)</f>
        <v>#N/A</v>
      </c>
      <c r="F59" t="s">
        <v>310</v>
      </c>
      <c r="G59" t="e">
        <f>VLOOKUP(F59,Triggers!$B$2:$C$144,2,FALSE)</f>
        <v>#N/A</v>
      </c>
      <c r="H59" t="e">
        <f>VLOOKUP(F59,Triggers!$B$2:$E$144,3,FALSE)</f>
        <v>#N/A</v>
      </c>
      <c r="I59" t="e">
        <f>VLOOKUP(F59,Triggers!$B$2:$E$144,4,FALSE)</f>
        <v>#N/A</v>
      </c>
    </row>
    <row r="60" spans="1:9" x14ac:dyDescent="0.3">
      <c r="A60" t="e">
        <f>VLOOKUP(B60,Items!$A$1:$E$56,4,FALSE)</f>
        <v>#N/A</v>
      </c>
      <c r="B60" t="s">
        <v>309</v>
      </c>
      <c r="C60" t="e">
        <f>VLOOKUP(B60,Items!$A$1:$C$56,2,FALSE)</f>
        <v>#N/A</v>
      </c>
      <c r="D60" t="s">
        <v>250</v>
      </c>
      <c r="E60" t="s">
        <v>271</v>
      </c>
      <c r="F60" t="s">
        <v>310</v>
      </c>
      <c r="G60" t="e">
        <f>VLOOKUP(F60,Triggers!$B$2:$C$144,2,FALSE)</f>
        <v>#N/A</v>
      </c>
      <c r="H60" t="e">
        <f>VLOOKUP(F60,Triggers!$B$2:$E$144,3,FALSE)</f>
        <v>#N/A</v>
      </c>
      <c r="I60" t="e">
        <f>VLOOKUP(F60,Triggers!$B$2:$E$144,4,FALSE)</f>
        <v>#N/A</v>
      </c>
    </row>
    <row r="61" spans="1:9" x14ac:dyDescent="0.3">
      <c r="A61" t="e">
        <f>VLOOKUP(B61,Items!$A$1:$E$56,4,FALSE)</f>
        <v>#N/A</v>
      </c>
      <c r="B61" t="s">
        <v>309</v>
      </c>
      <c r="C61" t="e">
        <f>VLOOKUP(B61,Items!$A$1:$C$56,2,FALSE)</f>
        <v>#N/A</v>
      </c>
      <c r="D61" t="s">
        <v>252</v>
      </c>
      <c r="E61" t="s">
        <v>268</v>
      </c>
      <c r="F61" t="s">
        <v>310</v>
      </c>
      <c r="G61" t="e">
        <f>VLOOKUP(F61,Triggers!$B$2:$C$144,2,FALSE)</f>
        <v>#N/A</v>
      </c>
      <c r="H61" t="e">
        <f>VLOOKUP(F61,Triggers!$B$2:$E$144,3,FALSE)</f>
        <v>#N/A</v>
      </c>
      <c r="I61" t="e">
        <f>VLOOKUP(F61,Triggers!$B$2:$E$144,4,FALSE)</f>
        <v>#N/A</v>
      </c>
    </row>
    <row r="62" spans="1:9" x14ac:dyDescent="0.3">
      <c r="A62" t="e">
        <f>VLOOKUP(B62,Items!$A$1:$E$56,4,FALSE)</f>
        <v>#N/A</v>
      </c>
      <c r="B62" t="s">
        <v>311</v>
      </c>
      <c r="C62" t="e">
        <f>VLOOKUP(B62,Items!$A$1:$C$56,2,FALSE)</f>
        <v>#N/A</v>
      </c>
      <c r="E62" t="e">
        <f>VLOOKUP(B62,Items!$A$2:$D$56,3,FALSE)</f>
        <v>#N/A</v>
      </c>
      <c r="F62" t="s">
        <v>312</v>
      </c>
      <c r="G62" t="e">
        <f>VLOOKUP(F62,Triggers!$B$2:$C$144,2,FALSE)</f>
        <v>#N/A</v>
      </c>
      <c r="H62" t="e">
        <f>VLOOKUP(F62,Triggers!$B$2:$E$144,3,FALSE)</f>
        <v>#N/A</v>
      </c>
      <c r="I62" t="e">
        <f>VLOOKUP(F62,Triggers!$B$2:$E$144,4,FALSE)</f>
        <v>#N/A</v>
      </c>
    </row>
    <row r="63" spans="1:9" x14ac:dyDescent="0.3">
      <c r="A63" t="e">
        <f>VLOOKUP(B63,Items!$A$1:$E$56,4,FALSE)</f>
        <v>#N/A</v>
      </c>
      <c r="B63" t="s">
        <v>313</v>
      </c>
      <c r="C63" t="e">
        <f>VLOOKUP(B63,Items!$A$1:$C$56,2,FALSE)</f>
        <v>#N/A</v>
      </c>
      <c r="E63" t="e">
        <f>VLOOKUP(B63,Items!$A$2:$D$56,3,FALSE)</f>
        <v>#N/A</v>
      </c>
      <c r="F63" t="s">
        <v>312</v>
      </c>
      <c r="G63" t="e">
        <f>VLOOKUP(F63,Triggers!$B$2:$C$144,2,FALSE)</f>
        <v>#N/A</v>
      </c>
      <c r="H63" t="e">
        <f>VLOOKUP(F63,Triggers!$B$2:$E$144,3,FALSE)</f>
        <v>#N/A</v>
      </c>
      <c r="I63" t="e">
        <f>VLOOKUP(F63,Triggers!$B$2:$E$144,4,FALSE)</f>
        <v>#N/A</v>
      </c>
    </row>
    <row r="64" spans="1:9" x14ac:dyDescent="0.3">
      <c r="A64" t="e">
        <f>VLOOKUP(B64,Items!$A$1:$E$56,4,FALSE)</f>
        <v>#N/A</v>
      </c>
      <c r="B64" t="s">
        <v>314</v>
      </c>
      <c r="C64" t="e">
        <f>VLOOKUP(B64,Items!$A$1:$C$56,2,FALSE)</f>
        <v>#N/A</v>
      </c>
      <c r="E64" t="e">
        <f>VLOOKUP(B64,Items!$A$2:$D$56,3,FALSE)</f>
        <v>#N/A</v>
      </c>
      <c r="F64" t="s">
        <v>312</v>
      </c>
      <c r="G64" t="e">
        <f>VLOOKUP(F64,Triggers!$B$2:$C$144,2,FALSE)</f>
        <v>#N/A</v>
      </c>
      <c r="H64" t="e">
        <f>VLOOKUP(F64,Triggers!$B$2:$E$144,3,FALSE)</f>
        <v>#N/A</v>
      </c>
      <c r="I64" t="e">
        <f>VLOOKUP(F64,Triggers!$B$2:$E$144,4,FALSE)</f>
        <v>#N/A</v>
      </c>
    </row>
    <row r="65" spans="1:9" x14ac:dyDescent="0.3">
      <c r="A65" t="e">
        <f>VLOOKUP(B65,Items!$A$1:$E$56,4,FALSE)</f>
        <v>#N/A</v>
      </c>
      <c r="B65" t="s">
        <v>315</v>
      </c>
      <c r="C65" t="e">
        <f>VLOOKUP(B65,Items!$A$1:$C$56,2,FALSE)</f>
        <v>#N/A</v>
      </c>
      <c r="E65" t="e">
        <f>VLOOKUP(B65,Items!$A$2:$D$56,3,FALSE)</f>
        <v>#N/A</v>
      </c>
      <c r="F65" t="s">
        <v>312</v>
      </c>
      <c r="G65" t="e">
        <f>VLOOKUP(F65,Triggers!$B$2:$C$144,2,FALSE)</f>
        <v>#N/A</v>
      </c>
      <c r="H65" t="e">
        <f>VLOOKUP(F65,Triggers!$B$2:$E$144,3,FALSE)</f>
        <v>#N/A</v>
      </c>
      <c r="I65" t="e">
        <f>VLOOKUP(F65,Triggers!$B$2:$E$144,4,FALSE)</f>
        <v>#N/A</v>
      </c>
    </row>
    <row r="66" spans="1:9" x14ac:dyDescent="0.3">
      <c r="A66" t="e">
        <f>VLOOKUP(B66,Items!$A$1:$E$56,4,FALSE)</f>
        <v>#N/A</v>
      </c>
      <c r="B66" t="s">
        <v>316</v>
      </c>
      <c r="C66" t="e">
        <f>VLOOKUP(B66,Items!$A$1:$C$56,2,FALSE)</f>
        <v>#N/A</v>
      </c>
      <c r="E66" t="e">
        <f>VLOOKUP(B66,Items!$A$2:$D$56,3,FALSE)</f>
        <v>#N/A</v>
      </c>
      <c r="F66" t="s">
        <v>312</v>
      </c>
      <c r="G66" t="e">
        <f>VLOOKUP(F66,Triggers!$B$2:$C$144,2,FALSE)</f>
        <v>#N/A</v>
      </c>
      <c r="H66" t="e">
        <f>VLOOKUP(F66,Triggers!$B$2:$E$144,3,FALSE)</f>
        <v>#N/A</v>
      </c>
      <c r="I66" t="e">
        <f>VLOOKUP(F66,Triggers!$B$2:$E$144,4,FALSE)</f>
        <v>#N/A</v>
      </c>
    </row>
    <row r="67" spans="1:9" x14ac:dyDescent="0.3">
      <c r="A67" t="e">
        <f>VLOOKUP(B67,Items!$A$1:$E$56,4,FALSE)</f>
        <v>#N/A</v>
      </c>
      <c r="B67" t="s">
        <v>317</v>
      </c>
      <c r="C67" t="e">
        <f>VLOOKUP(B67,Items!$A$1:$C$56,2,FALSE)</f>
        <v>#N/A</v>
      </c>
      <c r="E67" t="e">
        <f>VLOOKUP(B67,Items!$A$2:$D$56,3,FALSE)</f>
        <v>#N/A</v>
      </c>
      <c r="F67" t="s">
        <v>312</v>
      </c>
      <c r="G67" t="e">
        <f>VLOOKUP(F67,Triggers!$B$2:$C$144,2,FALSE)</f>
        <v>#N/A</v>
      </c>
      <c r="H67" t="e">
        <f>VLOOKUP(F67,Triggers!$B$2:$E$144,3,FALSE)</f>
        <v>#N/A</v>
      </c>
      <c r="I67" t="e">
        <f>VLOOKUP(F67,Triggers!$B$2:$E$144,4,FALSE)</f>
        <v>#N/A</v>
      </c>
    </row>
    <row r="68" spans="1:9" x14ac:dyDescent="0.3">
      <c r="A68" t="e">
        <f>VLOOKUP(B68,Items!$A$1:$E$56,4,FALSE)</f>
        <v>#N/A</v>
      </c>
      <c r="B68" t="s">
        <v>318</v>
      </c>
      <c r="C68" t="e">
        <f>VLOOKUP(B68,Items!$A$1:$C$56,2,FALSE)</f>
        <v>#N/A</v>
      </c>
      <c r="E68" t="s">
        <v>319</v>
      </c>
      <c r="F68" t="s">
        <v>312</v>
      </c>
      <c r="G68" t="e">
        <f>VLOOKUP(F68,Triggers!$B$2:$C$144,2,FALSE)</f>
        <v>#N/A</v>
      </c>
      <c r="H68" t="e">
        <f>VLOOKUP(F68,Triggers!$B$2:$E$144,3,FALSE)</f>
        <v>#N/A</v>
      </c>
      <c r="I68" t="e">
        <f>VLOOKUP(F68,Triggers!$B$2:$E$144,4,FALSE)</f>
        <v>#N/A</v>
      </c>
    </row>
    <row r="69" spans="1:9" x14ac:dyDescent="0.3">
      <c r="A69" t="e">
        <f>VLOOKUP(B69,Items!$A$1:$E$56,4,FALSE)</f>
        <v>#N/A</v>
      </c>
      <c r="B69" t="s">
        <v>320</v>
      </c>
      <c r="C69" t="e">
        <f>VLOOKUP(B69,Items!$A$1:$C$56,2,FALSE)</f>
        <v>#N/A</v>
      </c>
      <c r="E69" t="e">
        <f>VLOOKUP(B69,Items!$A$2:$D$56,3,FALSE)</f>
        <v>#N/A</v>
      </c>
      <c r="F69" t="s">
        <v>312</v>
      </c>
      <c r="G69" t="e">
        <f>VLOOKUP(F69,Triggers!$B$2:$C$144,2,FALSE)</f>
        <v>#N/A</v>
      </c>
      <c r="H69" t="e">
        <f>VLOOKUP(F69,Triggers!$B$2:$E$144,3,FALSE)</f>
        <v>#N/A</v>
      </c>
      <c r="I69" t="e">
        <f>VLOOKUP(F69,Triggers!$B$2:$E$144,4,FALSE)</f>
        <v>#N/A</v>
      </c>
    </row>
    <row r="70" spans="1:9" x14ac:dyDescent="0.3">
      <c r="A70" t="e">
        <f>VLOOKUP(B70,Items!$A$1:$E$56,4,FALSE)</f>
        <v>#N/A</v>
      </c>
      <c r="B70" t="s">
        <v>321</v>
      </c>
      <c r="C70" t="e">
        <f>VLOOKUP(B70,Items!$A$1:$C$56,2,FALSE)</f>
        <v>#N/A</v>
      </c>
      <c r="E70" t="s">
        <v>319</v>
      </c>
      <c r="F70" t="s">
        <v>312</v>
      </c>
      <c r="G70" t="e">
        <f>VLOOKUP(F70,Triggers!$B$2:$C$144,2,FALSE)</f>
        <v>#N/A</v>
      </c>
      <c r="H70" t="e">
        <f>VLOOKUP(F70,Triggers!$B$2:$E$144,3,FALSE)</f>
        <v>#N/A</v>
      </c>
      <c r="I70" t="e">
        <f>VLOOKUP(F70,Triggers!$B$2:$E$144,4,FALSE)</f>
        <v>#N/A</v>
      </c>
    </row>
    <row r="71" spans="1:9" x14ac:dyDescent="0.3">
      <c r="A71" t="e">
        <f>VLOOKUP(B71,Items!$A$1:$E$56,4,FALSE)</f>
        <v>#N/A</v>
      </c>
      <c r="B71" t="s">
        <v>322</v>
      </c>
      <c r="C71" t="e">
        <f>VLOOKUP(B71,Items!$A$1:$C$56,2,FALSE)</f>
        <v>#N/A</v>
      </c>
      <c r="E71" t="s">
        <v>319</v>
      </c>
      <c r="F71" t="s">
        <v>312</v>
      </c>
      <c r="G71" t="e">
        <f>VLOOKUP(F71,Triggers!$B$2:$C$144,2,FALSE)</f>
        <v>#N/A</v>
      </c>
      <c r="H71" t="e">
        <f>VLOOKUP(F71,Triggers!$B$2:$E$144,3,FALSE)</f>
        <v>#N/A</v>
      </c>
      <c r="I71" t="e">
        <f>VLOOKUP(F71,Triggers!$B$2:$E$144,4,FALSE)</f>
        <v>#N/A</v>
      </c>
    </row>
    <row r="72" spans="1:9" x14ac:dyDescent="0.3">
      <c r="A72" t="e">
        <f>VLOOKUP(B72,Items!$A$1:$E$56,4,FALSE)</f>
        <v>#N/A</v>
      </c>
      <c r="B72" t="s">
        <v>323</v>
      </c>
      <c r="C72" t="e">
        <f>VLOOKUP(B72,Items!$A$1:$C$56,2,FALSE)</f>
        <v>#N/A</v>
      </c>
      <c r="E72" t="e">
        <f>VLOOKUP(B72,Items!$A$2:$D$56,3,FALSE)</f>
        <v>#N/A</v>
      </c>
      <c r="F72" t="s">
        <v>312</v>
      </c>
      <c r="G72" t="e">
        <f>VLOOKUP(F72,Triggers!$B$2:$C$144,2,FALSE)</f>
        <v>#N/A</v>
      </c>
      <c r="H72" t="e">
        <f>VLOOKUP(F72,Triggers!$B$2:$E$144,3,FALSE)</f>
        <v>#N/A</v>
      </c>
      <c r="I72" t="e">
        <f>VLOOKUP(F72,Triggers!$B$2:$E$144,4,FALSE)</f>
        <v>#N/A</v>
      </c>
    </row>
  </sheetData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InputMessage="1" showErrorMessage="1" xr:uid="{298692E9-8DB9-B34C-B267-B43EE931A9C6}">
          <x14:formula1>
            <xm:f>Triggers!$B$41:$B$44</xm:f>
          </x14:formula1>
          <xm:sqref>F37</xm:sqref>
        </x14:dataValidation>
        <x14:dataValidation type="list" allowBlank="1" showInputMessage="1" showErrorMessage="1" xr:uid="{C4827A40-C584-814C-B6EC-2A7EF6DBFAF6}">
          <x14:formula1>
            <xm:f>Triggers!$B$45:$B$48</xm:f>
          </x14:formula1>
          <xm:sqref>F38</xm:sqref>
        </x14:dataValidation>
        <x14:dataValidation type="list" allowBlank="1" showInputMessage="1" showErrorMessage="1" xr:uid="{75F126BA-522F-BB42-A4FF-B94596BB7218}">
          <x14:formula1>
            <xm:f>Triggers!$B$49:$B$52</xm:f>
          </x14:formula1>
          <xm:sqref>F39:F41</xm:sqref>
        </x14:dataValidation>
        <x14:dataValidation type="list" allowBlank="1" showInputMessage="1" showErrorMessage="1" xr:uid="{65BA2D14-7908-4444-9DA1-08524806D8CF}">
          <x14:formula1>
            <xm:f>Triggers!$B$53:$B$55</xm:f>
          </x14:formula1>
          <xm:sqref>F42:F44</xm:sqref>
        </x14:dataValidation>
        <x14:dataValidation type="list" allowBlank="1" showInputMessage="1" showErrorMessage="1" xr:uid="{3F7980B1-1504-1B46-BE22-5588839AF3E5}">
          <x14:formula1>
            <xm:f>Triggers!$B$56:$B$59</xm:f>
          </x14:formula1>
          <xm:sqref>F45:F47</xm:sqref>
        </x14:dataValidation>
        <x14:dataValidation type="list" allowBlank="1" showInputMessage="1" showErrorMessage="1" xr:uid="{076D71A5-B625-B04E-A7A2-968A26B76EC8}">
          <x14:formula1>
            <xm:f>Triggers!$B$60:$B$63</xm:f>
          </x14:formula1>
          <xm:sqref>F48:F50</xm:sqref>
        </x14:dataValidation>
        <x14:dataValidation type="list" allowBlank="1" showInputMessage="1" showErrorMessage="1" xr:uid="{507D83E2-B980-A341-9472-902724BB1E5C}">
          <x14:formula1>
            <xm:f>Triggers!$B$64:$B$67</xm:f>
          </x14:formula1>
          <xm:sqref>F51:F53</xm:sqref>
        </x14:dataValidation>
        <x14:dataValidation type="list" allowBlank="1" showInputMessage="1" showErrorMessage="1" xr:uid="{6BBCAA7F-17FE-BE48-9398-D6A5D0EDEE10}">
          <x14:formula1>
            <xm:f>Triggers!$B$68:$B$70</xm:f>
          </x14:formula1>
          <xm:sqref>F54:F56</xm:sqref>
        </x14:dataValidation>
        <x14:dataValidation type="list" allowBlank="1" showInputMessage="1" showErrorMessage="1" xr:uid="{DF9B91ED-F1FE-984C-8C7B-695284E8B69C}">
          <x14:formula1>
            <xm:f>Triggers!$B$71:$B$74</xm:f>
          </x14:formula1>
          <xm:sqref>F57</xm:sqref>
        </x14:dataValidation>
        <x14:dataValidation type="list" allowBlank="1" showInputMessage="1" showErrorMessage="1" xr:uid="{E807273D-2B16-1842-837A-7D3368D25BB3}">
          <x14:formula1>
            <xm:f>Triggers!$B$75:$B$78</xm:f>
          </x14:formula1>
          <xm:sqref>F58</xm:sqref>
        </x14:dataValidation>
        <x14:dataValidation type="list" allowBlank="1" showInputMessage="1" showErrorMessage="1" xr:uid="{0BED7F68-9611-8C49-903C-3F4D94575A80}">
          <x14:formula1>
            <xm:f>Triggers!$B$79:$B$82</xm:f>
          </x14:formula1>
          <xm:sqref>F59:F61</xm:sqref>
        </x14:dataValidation>
        <x14:dataValidation type="list" allowBlank="1" showInputMessage="1" showErrorMessage="1" xr:uid="{DB0DCFA0-B045-F844-8162-9ADA654B26CA}">
          <x14:formula1>
            <xm:f>Triggers!$B$21:$B$22</xm:f>
          </x14:formula1>
          <xm:sqref>F17:F19</xm:sqref>
        </x14:dataValidation>
        <x14:dataValidation type="list" allowBlank="1" showInputMessage="1" showErrorMessage="1" xr:uid="{4CDBF388-995D-1540-8BBA-EFF493556B84}">
          <x14:formula1>
            <xm:f>Triggers!$B$39:$B$40</xm:f>
          </x14:formula1>
          <xm:sqref>F36</xm:sqref>
        </x14:dataValidation>
        <x14:dataValidation type="list" allowBlank="1" showInputMessage="1" showErrorMessage="1" xr:uid="{77A3EAD4-6C65-D141-8727-2273DA8229CE}">
          <x14:formula1>
            <xm:f>Triggers!$B$31:$B$32</xm:f>
          </x14:formula1>
          <xm:sqref>F31</xm:sqref>
        </x14:dataValidation>
        <x14:dataValidation type="list" allowBlank="1" showInputMessage="1" showErrorMessage="1" xr:uid="{7F059832-9559-3845-A36C-6430AA50F704}">
          <x14:formula1>
            <xm:f>Triggers!$B$37:$B$38</xm:f>
          </x14:formula1>
          <xm:sqref>F35</xm:sqref>
        </x14:dataValidation>
        <x14:dataValidation type="list" allowBlank="1" showInputMessage="1" showErrorMessage="1" xr:uid="{2E2EE50F-1E77-8D42-91C4-0906E55782EF}">
          <x14:formula1>
            <xm:f>Triggers!$B$36:$B$36</xm:f>
          </x14:formula1>
          <xm:sqref>F34</xm:sqref>
        </x14:dataValidation>
        <x14:dataValidation type="list" allowBlank="1" showInputMessage="1" showErrorMessage="1" xr:uid="{D3ED9BB5-FD8B-C548-8F55-3233B8CF98CA}">
          <x14:formula1>
            <xm:f>Triggers!$B$35:$B$35</xm:f>
          </x14:formula1>
          <xm:sqref>F33</xm:sqref>
        </x14:dataValidation>
        <x14:dataValidation type="list" allowBlank="1" showInputMessage="1" showErrorMessage="1" xr:uid="{EA9FE4F4-D8A7-EF45-80B1-BA6B3E49C2F6}">
          <x14:formula1>
            <xm:f>Triggers!$B$33:$B$34</xm:f>
          </x14:formula1>
          <xm:sqref>F32</xm:sqref>
        </x14:dataValidation>
        <x14:dataValidation type="list" allowBlank="1" showInputMessage="1" showErrorMessage="1" xr:uid="{623A43DA-2746-E949-9ED1-06060BE41E7E}">
          <x14:formula1>
            <xm:f>Triggers!$B$30:$B$30</xm:f>
          </x14:formula1>
          <xm:sqref>F30</xm:sqref>
        </x14:dataValidation>
        <x14:dataValidation type="list" allowBlank="1" showInputMessage="1" showErrorMessage="1" xr:uid="{A4F30E6A-B523-6A46-9688-FC00FC1B8758}">
          <x14:formula1>
            <xm:f>Triggers!$B$28:$B$29</xm:f>
          </x14:formula1>
          <xm:sqref>F27:F29</xm:sqref>
        </x14:dataValidation>
        <x14:dataValidation type="list" allowBlank="1" showInputMessage="1" showErrorMessage="1" xr:uid="{BBE48B1D-67B9-0C4E-AAA6-B6F57C2F11A0}">
          <x14:formula1>
            <xm:f>Triggers!$B$26:$B$27</xm:f>
          </x14:formula1>
          <xm:sqref>F24:F26</xm:sqref>
        </x14:dataValidation>
        <x14:dataValidation type="list" allowBlank="1" showInputMessage="1" showErrorMessage="1" xr:uid="{F448214B-D59C-6F4E-AADC-44B2CFD51E07}">
          <x14:formula1>
            <xm:f>Triggers!$B$24:$B$25</xm:f>
          </x14:formula1>
          <xm:sqref>F23</xm:sqref>
        </x14:dataValidation>
        <x14:dataValidation type="list" allowBlank="1" showInputMessage="1" showErrorMessage="1" xr:uid="{0FFC7A24-2328-FF4C-B72A-4CC72C11AEA3}">
          <x14:formula1>
            <xm:f>Triggers!$B$23:$B$23</xm:f>
          </x14:formula1>
          <xm:sqref>F20:F22</xm:sqref>
        </x14:dataValidation>
        <x14:dataValidation type="list" allowBlank="1" showInputMessage="1" showErrorMessage="1" xr:uid="{4DE8A8DC-075E-324A-B308-579F039C6EE0}">
          <x14:formula1>
            <xm:f>Triggers!$B$19:$B$20</xm:f>
          </x14:formula1>
          <xm:sqref>F14:F16</xm:sqref>
        </x14:dataValidation>
        <x14:dataValidation type="list" allowBlank="1" showInputMessage="1" showErrorMessage="1" xr:uid="{C5B2C145-4DB2-284B-882D-D82B4CB9D313}">
          <x14:formula1>
            <xm:f>Triggers!$B$17:$B$18</xm:f>
          </x14:formula1>
          <xm:sqref>F11:F13</xm:sqref>
        </x14:dataValidation>
        <x14:dataValidation type="list" allowBlank="1" showInputMessage="1" showErrorMessage="1" xr:uid="{79B2E428-B5E2-E949-8D78-AFE8D3CC99F8}">
          <x14:formula1>
            <xm:f>Triggers!$B$15:$B$16</xm:f>
          </x14:formula1>
          <xm:sqref>F10</xm:sqref>
        </x14:dataValidation>
        <x14:dataValidation type="list" allowBlank="1" showInputMessage="1" showErrorMessage="1" xr:uid="{2AE6BFCF-9503-C04C-8105-51A6BCFF9A21}">
          <x14:formula1>
            <xm:f>Triggers!$B$13:$B$14</xm:f>
          </x14:formula1>
          <xm:sqref>F9</xm:sqref>
        </x14:dataValidation>
        <x14:dataValidation type="list" allowBlank="1" showInputMessage="1" showErrorMessage="1" xr:uid="{9CE5C6B9-735B-4C42-B211-0F47B8921BB2}">
          <x14:formula1>
            <xm:f>Triggers!$B$11:$B$12</xm:f>
          </x14:formula1>
          <xm:sqref>F8</xm:sqref>
        </x14:dataValidation>
        <x14:dataValidation type="list" allowBlank="1" showInputMessage="1" showErrorMessage="1" xr:uid="{CFD33340-197E-CF40-B480-5F619C285114}">
          <x14:formula1>
            <xm:f>Triggers!$B$9:$B$10</xm:f>
          </x14:formula1>
          <xm:sqref>F7</xm:sqref>
        </x14:dataValidation>
        <x14:dataValidation type="list" allowBlank="1" showInputMessage="1" showErrorMessage="1" xr:uid="{4D6ACC7F-80FD-8745-BC16-93BC7BE86A30}">
          <x14:formula1>
            <xm:f>Triggers!$B$8:$B$8</xm:f>
          </x14:formula1>
          <xm:sqref>F6</xm:sqref>
        </x14:dataValidation>
        <x14:dataValidation type="list" allowBlank="1" showInputMessage="1" showErrorMessage="1" xr:uid="{5144A2FA-DE5A-BF40-B5AD-D65362BE098D}">
          <x14:formula1>
            <xm:f>Triggers!$B$6:$B$7</xm:f>
          </x14:formula1>
          <xm:sqref>F5</xm:sqref>
        </x14:dataValidation>
        <x14:dataValidation type="list" allowBlank="1" showInputMessage="1" showErrorMessage="1" xr:uid="{69E63B65-856D-8E4A-8C89-3335DB1B6CC4}">
          <x14:formula1>
            <xm:f>Triggers!$B$5:$B$5</xm:f>
          </x14:formula1>
          <xm:sqref>F4</xm:sqref>
        </x14:dataValidation>
        <x14:dataValidation type="list" allowBlank="1" showInputMessage="1" showErrorMessage="1" xr:uid="{CE9771B4-4D26-2E4E-8E5C-82668AC59E98}">
          <x14:formula1>
            <xm:f>Triggers!$B$4:$B$4</xm:f>
          </x14:formula1>
          <xm:sqref>F3</xm:sqref>
        </x14:dataValidation>
        <x14:dataValidation type="list" allowBlank="1" showInputMessage="1" showErrorMessage="1" xr:uid="{9C28AEF4-14D2-724F-83BA-809A36F55BD5}">
          <x14:formula1>
            <xm:f>Triggers!$B$3:$B$3</xm:f>
          </x14:formula1>
          <xm:sqref>F2</xm:sqref>
        </x14:dataValidation>
        <x14:dataValidation type="list" allowBlank="1" showInputMessage="1" showErrorMessage="1" xr:uid="{8D881C74-6EC1-E544-8A63-8EDDEB93DD09}">
          <x14:formula1>
            <xm:f>Triggers!$B$2:$B$2</xm:f>
          </x14:formula1>
          <xm:sqref>F62:F72</xm:sqref>
        </x14:dataValidation>
        <x14:dataValidation type="list" allowBlank="1" showInputMessage="1" showErrorMessage="1" xr:uid="{F7082F85-7979-9B45-80BC-790D67D5279E}">
          <x14:formula1>
            <xm:f>Triggers!$P$2:$P$2</xm:f>
          </x14:formula1>
          <xm:sqref>D39:D56 D11:D22 D59:D61 D24:D29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2B06-FF09-4F73-B6F9-5F46EA40DF1B}">
  <sheetPr codeName="Feuil4"/>
  <dimension ref="A1:H197"/>
  <sheetViews>
    <sheetView zoomScale="160" zoomScaleNormal="160" workbookViewId="0">
      <pane ySplit="1" topLeftCell="A104" activePane="bottomLeft" state="frozen"/>
      <selection pane="bottomLeft" activeCell="C104" sqref="C104"/>
    </sheetView>
  </sheetViews>
  <sheetFormatPr baseColWidth="10" defaultColWidth="8.88671875" defaultRowHeight="14.4" x14ac:dyDescent="0.3"/>
  <cols>
    <col min="1" max="2" width="33.88671875" customWidth="1"/>
    <col min="3" max="3" width="29.6640625" customWidth="1"/>
    <col min="4" max="4" width="72.44140625" customWidth="1"/>
    <col min="5" max="5" width="11.109375" bestFit="1" customWidth="1"/>
    <col min="6" max="6" width="6.109375" bestFit="1" customWidth="1"/>
  </cols>
  <sheetData>
    <row r="1" spans="1:6" x14ac:dyDescent="0.3">
      <c r="A1" s="1" t="s">
        <v>41</v>
      </c>
      <c r="B1" s="1" t="s">
        <v>0</v>
      </c>
      <c r="C1" s="1" t="s">
        <v>42</v>
      </c>
      <c r="D1" s="1" t="s">
        <v>1</v>
      </c>
      <c r="E1" s="1" t="s">
        <v>39</v>
      </c>
      <c r="F1" s="1" t="s">
        <v>3</v>
      </c>
    </row>
    <row r="2" spans="1:6" x14ac:dyDescent="0.3">
      <c r="A2" t="s">
        <v>47</v>
      </c>
      <c r="B2" t="s">
        <v>324</v>
      </c>
      <c r="C2" t="s">
        <v>325</v>
      </c>
      <c r="D2" t="s">
        <v>326</v>
      </c>
      <c r="E2" t="s">
        <v>18</v>
      </c>
      <c r="F2">
        <v>1</v>
      </c>
    </row>
    <row r="3" spans="1:6" x14ac:dyDescent="0.3">
      <c r="A3" t="s">
        <v>60</v>
      </c>
      <c r="C3" t="s">
        <v>61</v>
      </c>
      <c r="D3" t="e">
        <f>IF(A3="","",_xlfn.CONCAT(E3,"-",A3,"-",_xlfn.XLOOKUP(C3,Categories!$B$2:$B$989,Categories!$B$2:$B$989)))</f>
        <v>#N/A</v>
      </c>
      <c r="E3" t="s">
        <v>35</v>
      </c>
      <c r="F3">
        <v>2</v>
      </c>
    </row>
    <row r="4" spans="1:6" x14ac:dyDescent="0.3">
      <c r="A4" t="s">
        <v>62</v>
      </c>
      <c r="C4" t="s">
        <v>61</v>
      </c>
      <c r="D4" t="e">
        <f>IF(A4="","",_xlfn.CONCAT(E4,"-",A4,"-",_xlfn.XLOOKUP(C4,Categories!$B$2:$B$989,Categories!$B$2:$B$989)))</f>
        <v>#N/A</v>
      </c>
      <c r="E4" t="s">
        <v>35</v>
      </c>
      <c r="F4">
        <v>3</v>
      </c>
    </row>
    <row r="5" spans="1:6" x14ac:dyDescent="0.3">
      <c r="A5" t="s">
        <v>25</v>
      </c>
      <c r="C5" t="s">
        <v>61</v>
      </c>
      <c r="D5" t="e">
        <f>IF(A5="","",_xlfn.CONCAT(E5,"-",A5,"-",_xlfn.XLOOKUP(C5,Categories!$B$2:$B$989,Categories!$B$2:$B$989)))</f>
        <v>#N/A</v>
      </c>
      <c r="E5" t="s">
        <v>35</v>
      </c>
      <c r="F5">
        <v>4</v>
      </c>
    </row>
    <row r="6" spans="1:6" x14ac:dyDescent="0.3">
      <c r="A6" t="s">
        <v>63</v>
      </c>
      <c r="C6" t="s">
        <v>56</v>
      </c>
      <c r="D6" t="e">
        <f>IF(A6="","",_xlfn.CONCAT(E6,"-",A6,"-",_xlfn.XLOOKUP(C6,Categories!$B$2:$B$989,Categories!$B$2:$B$989)))</f>
        <v>#N/A</v>
      </c>
      <c r="E6" t="s">
        <v>35</v>
      </c>
      <c r="F6">
        <v>5</v>
      </c>
    </row>
    <row r="7" spans="1:6" x14ac:dyDescent="0.3">
      <c r="A7" t="s">
        <v>64</v>
      </c>
      <c r="C7" t="s">
        <v>56</v>
      </c>
      <c r="D7" t="e">
        <f>IF(A7="","",_xlfn.CONCAT(E7,"-",A7,"-",_xlfn.XLOOKUP(C7,Categories!$B$2:$B$989,Categories!$B$2:$B$989)))</f>
        <v>#N/A</v>
      </c>
      <c r="E7" t="s">
        <v>35</v>
      </c>
      <c r="F7">
        <v>6</v>
      </c>
    </row>
    <row r="8" spans="1:6" x14ac:dyDescent="0.3">
      <c r="A8" t="s">
        <v>32</v>
      </c>
      <c r="C8" t="s">
        <v>56</v>
      </c>
      <c r="D8" t="e">
        <f>IF(A8="","",_xlfn.CONCAT(E8,"-",A8,"-",_xlfn.XLOOKUP(C8,Categories!$B$2:$B$989,Categories!$B$2:$B$989)))</f>
        <v>#N/A</v>
      </c>
      <c r="E8" t="s">
        <v>35</v>
      </c>
      <c r="F8">
        <v>7</v>
      </c>
    </row>
    <row r="9" spans="1:6" x14ac:dyDescent="0.3">
      <c r="A9" t="s">
        <v>47</v>
      </c>
      <c r="B9" t="s">
        <v>324</v>
      </c>
      <c r="C9" t="s">
        <v>56</v>
      </c>
      <c r="D9" t="s">
        <v>327</v>
      </c>
      <c r="E9" t="s">
        <v>28</v>
      </c>
      <c r="F9">
        <v>8</v>
      </c>
    </row>
    <row r="10" spans="1:6" x14ac:dyDescent="0.3">
      <c r="A10" t="s">
        <v>47</v>
      </c>
      <c r="B10" t="s">
        <v>328</v>
      </c>
      <c r="C10" t="s">
        <v>325</v>
      </c>
      <c r="D10" s="7" t="s">
        <v>329</v>
      </c>
      <c r="E10" t="s">
        <v>18</v>
      </c>
      <c r="F10">
        <v>9</v>
      </c>
    </row>
    <row r="11" spans="1:6" x14ac:dyDescent="0.3">
      <c r="A11" t="s">
        <v>47</v>
      </c>
      <c r="B11" t="s">
        <v>330</v>
      </c>
      <c r="C11" t="s">
        <v>325</v>
      </c>
      <c r="D11" s="7" t="s">
        <v>331</v>
      </c>
      <c r="E11" t="s">
        <v>18</v>
      </c>
      <c r="F11">
        <v>10</v>
      </c>
    </row>
    <row r="12" spans="1:6" x14ac:dyDescent="0.3">
      <c r="A12" t="s">
        <v>47</v>
      </c>
      <c r="B12" t="s">
        <v>332</v>
      </c>
      <c r="C12" t="s">
        <v>325</v>
      </c>
      <c r="D12" s="7" t="s">
        <v>333</v>
      </c>
      <c r="E12" t="s">
        <v>18</v>
      </c>
      <c r="F12">
        <v>11</v>
      </c>
    </row>
    <row r="13" spans="1:6" x14ac:dyDescent="0.3">
      <c r="A13" t="s">
        <v>47</v>
      </c>
      <c r="B13" t="s">
        <v>334</v>
      </c>
      <c r="C13" t="s">
        <v>325</v>
      </c>
      <c r="D13" s="7" t="s">
        <v>335</v>
      </c>
      <c r="E13" t="s">
        <v>18</v>
      </c>
      <c r="F13">
        <v>12</v>
      </c>
    </row>
    <row r="14" spans="1:6" x14ac:dyDescent="0.3">
      <c r="A14" t="s">
        <v>47</v>
      </c>
      <c r="B14" t="s">
        <v>336</v>
      </c>
      <c r="C14" t="s">
        <v>325</v>
      </c>
      <c r="D14" s="7" t="s">
        <v>337</v>
      </c>
      <c r="E14" t="s">
        <v>18</v>
      </c>
      <c r="F14">
        <v>13</v>
      </c>
    </row>
    <row r="15" spans="1:6" x14ac:dyDescent="0.3">
      <c r="A15" t="s">
        <v>47</v>
      </c>
      <c r="B15" t="s">
        <v>338</v>
      </c>
      <c r="C15" t="s">
        <v>325</v>
      </c>
      <c r="D15" s="7" t="s">
        <v>339</v>
      </c>
      <c r="E15" t="s">
        <v>18</v>
      </c>
      <c r="F15">
        <v>14</v>
      </c>
    </row>
    <row r="16" spans="1:6" x14ac:dyDescent="0.3">
      <c r="A16" t="s">
        <v>47</v>
      </c>
      <c r="B16" t="s">
        <v>340</v>
      </c>
      <c r="C16" t="s">
        <v>325</v>
      </c>
      <c r="D16" s="7" t="s">
        <v>341</v>
      </c>
      <c r="E16" t="s">
        <v>18</v>
      </c>
      <c r="F16">
        <v>15</v>
      </c>
    </row>
    <row r="17" spans="1:6" x14ac:dyDescent="0.3">
      <c r="A17" t="s">
        <v>47</v>
      </c>
      <c r="B17" t="s">
        <v>342</v>
      </c>
      <c r="C17" t="s">
        <v>325</v>
      </c>
      <c r="D17" s="7" t="s">
        <v>343</v>
      </c>
      <c r="E17" t="s">
        <v>18</v>
      </c>
      <c r="F17">
        <v>16</v>
      </c>
    </row>
    <row r="18" spans="1:6" x14ac:dyDescent="0.3">
      <c r="A18" t="s">
        <v>47</v>
      </c>
      <c r="B18" t="s">
        <v>344</v>
      </c>
      <c r="C18" t="s">
        <v>325</v>
      </c>
      <c r="D18" s="7" t="s">
        <v>345</v>
      </c>
      <c r="E18" t="s">
        <v>18</v>
      </c>
      <c r="F18">
        <v>17</v>
      </c>
    </row>
    <row r="19" spans="1:6" x14ac:dyDescent="0.3">
      <c r="A19" t="s">
        <v>47</v>
      </c>
      <c r="B19" t="s">
        <v>346</v>
      </c>
      <c r="C19" t="s">
        <v>325</v>
      </c>
      <c r="D19" s="7" t="s">
        <v>347</v>
      </c>
      <c r="E19" t="s">
        <v>18</v>
      </c>
      <c r="F19">
        <v>18</v>
      </c>
    </row>
    <row r="20" spans="1:6" x14ac:dyDescent="0.3">
      <c r="A20" t="s">
        <v>47</v>
      </c>
      <c r="B20" t="s">
        <v>348</v>
      </c>
      <c r="C20" t="s">
        <v>325</v>
      </c>
      <c r="D20" s="7" t="s">
        <v>349</v>
      </c>
      <c r="E20" t="s">
        <v>18</v>
      </c>
      <c r="F20">
        <v>19</v>
      </c>
    </row>
    <row r="21" spans="1:6" x14ac:dyDescent="0.3">
      <c r="A21" t="s">
        <v>47</v>
      </c>
      <c r="B21" t="s">
        <v>350</v>
      </c>
      <c r="C21" t="s">
        <v>325</v>
      </c>
      <c r="D21" s="7" t="s">
        <v>351</v>
      </c>
      <c r="E21" t="s">
        <v>18</v>
      </c>
      <c r="F21">
        <v>20</v>
      </c>
    </row>
    <row r="22" spans="1:6" x14ac:dyDescent="0.3">
      <c r="A22" t="s">
        <v>47</v>
      </c>
      <c r="B22" t="s">
        <v>352</v>
      </c>
      <c r="C22" t="s">
        <v>325</v>
      </c>
      <c r="D22" s="7" t="s">
        <v>353</v>
      </c>
      <c r="E22" t="s">
        <v>18</v>
      </c>
      <c r="F22">
        <v>21</v>
      </c>
    </row>
    <row r="23" spans="1:6" x14ac:dyDescent="0.3">
      <c r="A23" t="s">
        <v>47</v>
      </c>
      <c r="B23" t="s">
        <v>354</v>
      </c>
      <c r="C23" t="s">
        <v>325</v>
      </c>
      <c r="D23" s="7" t="s">
        <v>355</v>
      </c>
      <c r="E23" t="s">
        <v>18</v>
      </c>
      <c r="F23">
        <v>22</v>
      </c>
    </row>
    <row r="24" spans="1:6" x14ac:dyDescent="0.3">
      <c r="A24" t="s">
        <v>47</v>
      </c>
      <c r="B24" t="s">
        <v>356</v>
      </c>
      <c r="C24" t="s">
        <v>325</v>
      </c>
      <c r="D24" s="7" t="s">
        <v>357</v>
      </c>
      <c r="E24" t="s">
        <v>18</v>
      </c>
      <c r="F24">
        <v>23</v>
      </c>
    </row>
    <row r="25" spans="1:6" x14ac:dyDescent="0.3">
      <c r="A25" t="s">
        <v>47</v>
      </c>
      <c r="B25" t="s">
        <v>358</v>
      </c>
      <c r="C25" t="s">
        <v>325</v>
      </c>
      <c r="D25" s="7" t="s">
        <v>359</v>
      </c>
      <c r="E25" t="s">
        <v>18</v>
      </c>
      <c r="F25">
        <v>24</v>
      </c>
    </row>
    <row r="26" spans="1:6" x14ac:dyDescent="0.3">
      <c r="A26" t="s">
        <v>47</v>
      </c>
      <c r="B26" t="s">
        <v>360</v>
      </c>
      <c r="C26" t="s">
        <v>325</v>
      </c>
      <c r="D26" s="7" t="s">
        <v>361</v>
      </c>
      <c r="E26" t="s">
        <v>18</v>
      </c>
      <c r="F26">
        <v>25</v>
      </c>
    </row>
    <row r="27" spans="1:6" x14ac:dyDescent="0.3">
      <c r="A27" t="s">
        <v>47</v>
      </c>
      <c r="B27" t="s">
        <v>362</v>
      </c>
      <c r="C27" t="s">
        <v>325</v>
      </c>
      <c r="D27" s="7" t="s">
        <v>363</v>
      </c>
      <c r="E27" t="s">
        <v>18</v>
      </c>
      <c r="F27">
        <v>26</v>
      </c>
    </row>
    <row r="28" spans="1:6" x14ac:dyDescent="0.3">
      <c r="A28" t="s">
        <v>47</v>
      </c>
      <c r="B28" t="s">
        <v>364</v>
      </c>
      <c r="C28" t="s">
        <v>325</v>
      </c>
      <c r="D28" s="7" t="s">
        <v>365</v>
      </c>
      <c r="E28" t="s">
        <v>18</v>
      </c>
      <c r="F28">
        <v>27</v>
      </c>
    </row>
    <row r="29" spans="1:6" x14ac:dyDescent="0.3">
      <c r="A29" t="s">
        <v>47</v>
      </c>
      <c r="B29" t="s">
        <v>366</v>
      </c>
      <c r="C29" t="s">
        <v>325</v>
      </c>
      <c r="D29" s="7" t="s">
        <v>367</v>
      </c>
      <c r="E29" t="s">
        <v>18</v>
      </c>
      <c r="F29">
        <v>28</v>
      </c>
    </row>
    <row r="30" spans="1:6" x14ac:dyDescent="0.3">
      <c r="A30" t="s">
        <v>47</v>
      </c>
      <c r="B30" t="s">
        <v>368</v>
      </c>
      <c r="C30" t="s">
        <v>325</v>
      </c>
      <c r="D30" s="7" t="s">
        <v>369</v>
      </c>
      <c r="E30" t="s">
        <v>18</v>
      </c>
      <c r="F30">
        <v>29</v>
      </c>
    </row>
    <row r="31" spans="1:6" x14ac:dyDescent="0.3">
      <c r="A31" t="s">
        <v>47</v>
      </c>
      <c r="B31" t="s">
        <v>370</v>
      </c>
      <c r="C31" t="s">
        <v>325</v>
      </c>
      <c r="D31" s="7" t="s">
        <v>371</v>
      </c>
      <c r="E31" t="s">
        <v>18</v>
      </c>
      <c r="F31">
        <v>30</v>
      </c>
    </row>
    <row r="32" spans="1:6" x14ac:dyDescent="0.3">
      <c r="A32" t="s">
        <v>47</v>
      </c>
      <c r="B32" t="s">
        <v>372</v>
      </c>
      <c r="C32" t="s">
        <v>325</v>
      </c>
      <c r="D32" s="7" t="s">
        <v>373</v>
      </c>
      <c r="E32" t="s">
        <v>18</v>
      </c>
      <c r="F32">
        <v>31</v>
      </c>
    </row>
    <row r="33" spans="1:6" x14ac:dyDescent="0.3">
      <c r="A33" t="s">
        <v>47</v>
      </c>
      <c r="B33" t="s">
        <v>374</v>
      </c>
      <c r="C33" t="s">
        <v>325</v>
      </c>
      <c r="D33" s="7" t="s">
        <v>375</v>
      </c>
      <c r="E33" t="s">
        <v>18</v>
      </c>
      <c r="F33">
        <v>32</v>
      </c>
    </row>
    <row r="34" spans="1:6" x14ac:dyDescent="0.3">
      <c r="A34" t="s">
        <v>47</v>
      </c>
      <c r="B34" t="s">
        <v>376</v>
      </c>
      <c r="C34" t="s">
        <v>325</v>
      </c>
      <c r="D34" s="7" t="s">
        <v>377</v>
      </c>
      <c r="E34" t="s">
        <v>18</v>
      </c>
      <c r="F34">
        <v>33</v>
      </c>
    </row>
    <row r="35" spans="1:6" x14ac:dyDescent="0.3">
      <c r="A35" t="s">
        <v>47</v>
      </c>
      <c r="B35" t="s">
        <v>378</v>
      </c>
      <c r="C35" t="s">
        <v>325</v>
      </c>
      <c r="D35" s="7" t="s">
        <v>379</v>
      </c>
      <c r="E35" t="s">
        <v>18</v>
      </c>
      <c r="F35">
        <v>34</v>
      </c>
    </row>
    <row r="36" spans="1:6" x14ac:dyDescent="0.3">
      <c r="A36" t="s">
        <v>47</v>
      </c>
      <c r="B36" t="s">
        <v>380</v>
      </c>
      <c r="C36" t="s">
        <v>325</v>
      </c>
      <c r="D36" s="7" t="s">
        <v>381</v>
      </c>
      <c r="E36" t="s">
        <v>18</v>
      </c>
      <c r="F36">
        <v>35</v>
      </c>
    </row>
    <row r="37" spans="1:6" x14ac:dyDescent="0.3">
      <c r="A37" t="s">
        <v>47</v>
      </c>
      <c r="B37" t="s">
        <v>382</v>
      </c>
      <c r="C37" t="s">
        <v>325</v>
      </c>
      <c r="D37" s="7" t="s">
        <v>383</v>
      </c>
      <c r="E37" t="s">
        <v>18</v>
      </c>
      <c r="F37">
        <v>36</v>
      </c>
    </row>
    <row r="38" spans="1:6" x14ac:dyDescent="0.3">
      <c r="A38" t="s">
        <v>47</v>
      </c>
      <c r="B38" t="s">
        <v>384</v>
      </c>
      <c r="C38" t="s">
        <v>325</v>
      </c>
      <c r="D38" s="7" t="s">
        <v>385</v>
      </c>
      <c r="E38" t="s">
        <v>18</v>
      </c>
      <c r="F38">
        <v>37</v>
      </c>
    </row>
    <row r="39" spans="1:6" x14ac:dyDescent="0.3">
      <c r="A39" t="s">
        <v>47</v>
      </c>
      <c r="B39" t="s">
        <v>386</v>
      </c>
      <c r="C39" t="s">
        <v>325</v>
      </c>
      <c r="D39" s="7" t="s">
        <v>387</v>
      </c>
      <c r="E39" t="s">
        <v>18</v>
      </c>
      <c r="F39">
        <v>38</v>
      </c>
    </row>
    <row r="40" spans="1:6" x14ac:dyDescent="0.3">
      <c r="A40" t="s">
        <v>47</v>
      </c>
      <c r="B40" t="s">
        <v>388</v>
      </c>
      <c r="C40" t="s">
        <v>325</v>
      </c>
      <c r="D40" s="7" t="s">
        <v>389</v>
      </c>
      <c r="E40" t="s">
        <v>18</v>
      </c>
      <c r="F40">
        <v>39</v>
      </c>
    </row>
    <row r="41" spans="1:6" x14ac:dyDescent="0.3">
      <c r="A41" t="s">
        <v>47</v>
      </c>
      <c r="B41" t="s">
        <v>390</v>
      </c>
      <c r="C41" t="s">
        <v>325</v>
      </c>
      <c r="D41" s="7" t="s">
        <v>391</v>
      </c>
      <c r="E41" t="s">
        <v>18</v>
      </c>
      <c r="F41">
        <v>40</v>
      </c>
    </row>
    <row r="42" spans="1:6" x14ac:dyDescent="0.3">
      <c r="A42" t="s">
        <v>47</v>
      </c>
      <c r="B42" t="s">
        <v>392</v>
      </c>
      <c r="C42" t="s">
        <v>325</v>
      </c>
      <c r="D42" s="7" t="s">
        <v>393</v>
      </c>
      <c r="E42" t="s">
        <v>18</v>
      </c>
      <c r="F42">
        <v>41</v>
      </c>
    </row>
    <row r="43" spans="1:6" x14ac:dyDescent="0.3">
      <c r="A43" t="s">
        <v>47</v>
      </c>
      <c r="B43" t="s">
        <v>394</v>
      </c>
      <c r="C43" t="s">
        <v>325</v>
      </c>
      <c r="D43" s="7" t="s">
        <v>395</v>
      </c>
      <c r="E43" t="s">
        <v>18</v>
      </c>
      <c r="F43">
        <v>42</v>
      </c>
    </row>
    <row r="44" spans="1:6" x14ac:dyDescent="0.3">
      <c r="A44" t="s">
        <v>47</v>
      </c>
      <c r="B44" t="s">
        <v>396</v>
      </c>
      <c r="C44" t="s">
        <v>325</v>
      </c>
      <c r="D44" s="7" t="s">
        <v>397</v>
      </c>
      <c r="E44" t="s">
        <v>18</v>
      </c>
      <c r="F44">
        <v>43</v>
      </c>
    </row>
    <row r="45" spans="1:6" x14ac:dyDescent="0.3">
      <c r="A45" t="s">
        <v>47</v>
      </c>
      <c r="B45" t="s">
        <v>398</v>
      </c>
      <c r="C45" t="s">
        <v>325</v>
      </c>
      <c r="D45" s="7" t="s">
        <v>399</v>
      </c>
      <c r="E45" t="s">
        <v>18</v>
      </c>
      <c r="F45">
        <v>44</v>
      </c>
    </row>
    <row r="46" spans="1:6" x14ac:dyDescent="0.3">
      <c r="A46" t="s">
        <v>47</v>
      </c>
      <c r="B46" t="s">
        <v>400</v>
      </c>
      <c r="C46" t="s">
        <v>325</v>
      </c>
      <c r="D46" s="7" t="s">
        <v>401</v>
      </c>
      <c r="E46" t="s">
        <v>18</v>
      </c>
      <c r="F46">
        <v>45</v>
      </c>
    </row>
    <row r="47" spans="1:6" x14ac:dyDescent="0.3">
      <c r="A47" t="s">
        <v>47</v>
      </c>
      <c r="B47" t="s">
        <v>402</v>
      </c>
      <c r="C47" t="s">
        <v>325</v>
      </c>
      <c r="D47" s="7" t="s">
        <v>403</v>
      </c>
      <c r="E47" t="s">
        <v>18</v>
      </c>
      <c r="F47">
        <v>46</v>
      </c>
    </row>
    <row r="48" spans="1:6" x14ac:dyDescent="0.3">
      <c r="A48" t="s">
        <v>47</v>
      </c>
      <c r="B48" t="s">
        <v>404</v>
      </c>
      <c r="C48" t="s">
        <v>325</v>
      </c>
      <c r="D48" s="7" t="s">
        <v>405</v>
      </c>
      <c r="E48" t="s">
        <v>18</v>
      </c>
      <c r="F48">
        <v>47</v>
      </c>
    </row>
    <row r="49" spans="1:6" x14ac:dyDescent="0.3">
      <c r="A49" t="s">
        <v>47</v>
      </c>
      <c r="B49" t="s">
        <v>406</v>
      </c>
      <c r="C49" t="s">
        <v>325</v>
      </c>
      <c r="D49" s="7" t="s">
        <v>407</v>
      </c>
      <c r="E49" t="s">
        <v>18</v>
      </c>
      <c r="F49">
        <v>48</v>
      </c>
    </row>
    <row r="50" spans="1:6" x14ac:dyDescent="0.3">
      <c r="A50" t="s">
        <v>47</v>
      </c>
      <c r="B50" t="s">
        <v>408</v>
      </c>
      <c r="C50" t="s">
        <v>325</v>
      </c>
      <c r="D50" s="7" t="s">
        <v>409</v>
      </c>
      <c r="E50" t="s">
        <v>18</v>
      </c>
      <c r="F50">
        <v>49</v>
      </c>
    </row>
    <row r="51" spans="1:6" x14ac:dyDescent="0.3">
      <c r="A51" t="s">
        <v>47</v>
      </c>
      <c r="B51" t="s">
        <v>410</v>
      </c>
      <c r="C51" t="s">
        <v>325</v>
      </c>
      <c r="D51" s="7" t="s">
        <v>411</v>
      </c>
      <c r="E51" t="s">
        <v>18</v>
      </c>
      <c r="F51">
        <v>50</v>
      </c>
    </row>
    <row r="52" spans="1:6" x14ac:dyDescent="0.3">
      <c r="A52" t="s">
        <v>47</v>
      </c>
      <c r="B52" t="s">
        <v>412</v>
      </c>
      <c r="C52" t="s">
        <v>325</v>
      </c>
      <c r="D52" s="7" t="s">
        <v>413</v>
      </c>
      <c r="E52" t="s">
        <v>18</v>
      </c>
      <c r="F52">
        <v>51</v>
      </c>
    </row>
    <row r="53" spans="1:6" x14ac:dyDescent="0.3">
      <c r="A53" t="s">
        <v>47</v>
      </c>
      <c r="B53" t="s">
        <v>414</v>
      </c>
      <c r="C53" t="s">
        <v>325</v>
      </c>
      <c r="D53" s="7" t="s">
        <v>415</v>
      </c>
      <c r="E53" t="s">
        <v>18</v>
      </c>
      <c r="F53">
        <v>52</v>
      </c>
    </row>
    <row r="54" spans="1:6" x14ac:dyDescent="0.3">
      <c r="A54" t="s">
        <v>47</v>
      </c>
      <c r="B54" t="s">
        <v>416</v>
      </c>
      <c r="C54" t="s">
        <v>325</v>
      </c>
      <c r="D54" s="7" t="s">
        <v>417</v>
      </c>
      <c r="E54" t="s">
        <v>18</v>
      </c>
      <c r="F54">
        <v>53</v>
      </c>
    </row>
    <row r="55" spans="1:6" x14ac:dyDescent="0.3">
      <c r="A55" t="s">
        <v>47</v>
      </c>
      <c r="B55" t="s">
        <v>418</v>
      </c>
      <c r="C55" t="s">
        <v>325</v>
      </c>
      <c r="D55" s="7" t="s">
        <v>419</v>
      </c>
      <c r="E55" t="s">
        <v>18</v>
      </c>
      <c r="F55">
        <v>54</v>
      </c>
    </row>
    <row r="56" spans="1:6" x14ac:dyDescent="0.3">
      <c r="A56" t="s">
        <v>47</v>
      </c>
      <c r="B56" t="s">
        <v>420</v>
      </c>
      <c r="C56" t="s">
        <v>325</v>
      </c>
      <c r="D56" s="7" t="s">
        <v>421</v>
      </c>
      <c r="E56" t="s">
        <v>18</v>
      </c>
      <c r="F56">
        <v>55</v>
      </c>
    </row>
    <row r="57" spans="1:6" x14ac:dyDescent="0.3">
      <c r="A57" t="s">
        <v>47</v>
      </c>
      <c r="B57" t="s">
        <v>422</v>
      </c>
      <c r="C57" t="s">
        <v>325</v>
      </c>
      <c r="D57" s="7" t="s">
        <v>423</v>
      </c>
      <c r="E57" t="s">
        <v>18</v>
      </c>
      <c r="F57">
        <v>56</v>
      </c>
    </row>
    <row r="58" spans="1:6" x14ac:dyDescent="0.3">
      <c r="A58" t="s">
        <v>47</v>
      </c>
      <c r="B58" t="s">
        <v>424</v>
      </c>
      <c r="C58" t="s">
        <v>325</v>
      </c>
      <c r="D58" s="7" t="s">
        <v>425</v>
      </c>
      <c r="E58" t="s">
        <v>18</v>
      </c>
      <c r="F58">
        <v>57</v>
      </c>
    </row>
    <row r="59" spans="1:6" x14ac:dyDescent="0.3">
      <c r="A59" t="s">
        <v>47</v>
      </c>
      <c r="B59" t="s">
        <v>426</v>
      </c>
      <c r="C59" t="s">
        <v>325</v>
      </c>
      <c r="D59" s="7" t="s">
        <v>427</v>
      </c>
      <c r="E59" t="s">
        <v>18</v>
      </c>
      <c r="F59">
        <v>58</v>
      </c>
    </row>
    <row r="60" spans="1:6" x14ac:dyDescent="0.3">
      <c r="A60" t="s">
        <v>47</v>
      </c>
      <c r="B60" t="s">
        <v>428</v>
      </c>
      <c r="C60" t="s">
        <v>325</v>
      </c>
      <c r="D60" s="7" t="s">
        <v>429</v>
      </c>
      <c r="E60" t="s">
        <v>18</v>
      </c>
      <c r="F60">
        <v>59</v>
      </c>
    </row>
    <row r="61" spans="1:6" x14ac:dyDescent="0.3">
      <c r="A61" t="s">
        <v>47</v>
      </c>
      <c r="B61" t="s">
        <v>430</v>
      </c>
      <c r="C61" t="s">
        <v>325</v>
      </c>
      <c r="D61" s="7" t="s">
        <v>431</v>
      </c>
      <c r="E61" t="s">
        <v>18</v>
      </c>
      <c r="F61">
        <v>60</v>
      </c>
    </row>
    <row r="62" spans="1:6" x14ac:dyDescent="0.3">
      <c r="A62" t="s">
        <v>47</v>
      </c>
      <c r="B62" t="s">
        <v>432</v>
      </c>
      <c r="C62" t="s">
        <v>325</v>
      </c>
      <c r="D62" s="7" t="s">
        <v>433</v>
      </c>
      <c r="E62" t="s">
        <v>18</v>
      </c>
      <c r="F62">
        <v>61</v>
      </c>
    </row>
    <row r="63" spans="1:6" x14ac:dyDescent="0.3">
      <c r="A63" t="s">
        <v>47</v>
      </c>
      <c r="B63" t="s">
        <v>434</v>
      </c>
      <c r="C63" t="s">
        <v>325</v>
      </c>
      <c r="D63" s="7" t="s">
        <v>435</v>
      </c>
      <c r="E63" t="s">
        <v>18</v>
      </c>
      <c r="F63">
        <v>62</v>
      </c>
    </row>
    <row r="64" spans="1:6" x14ac:dyDescent="0.3">
      <c r="A64" t="s">
        <v>47</v>
      </c>
      <c r="B64" t="s">
        <v>436</v>
      </c>
      <c r="C64" t="s">
        <v>325</v>
      </c>
      <c r="D64" s="7" t="s">
        <v>437</v>
      </c>
      <c r="E64" t="s">
        <v>18</v>
      </c>
      <c r="F64">
        <v>63</v>
      </c>
    </row>
    <row r="65" spans="1:6" x14ac:dyDescent="0.3">
      <c r="A65" t="s">
        <v>47</v>
      </c>
      <c r="B65" t="s">
        <v>438</v>
      </c>
      <c r="C65" t="s">
        <v>325</v>
      </c>
      <c r="D65" s="7" t="s">
        <v>439</v>
      </c>
      <c r="E65" t="s">
        <v>18</v>
      </c>
      <c r="F65">
        <v>64</v>
      </c>
    </row>
    <row r="66" spans="1:6" x14ac:dyDescent="0.3">
      <c r="A66" t="s">
        <v>47</v>
      </c>
      <c r="B66" t="s">
        <v>440</v>
      </c>
      <c r="C66" t="s">
        <v>325</v>
      </c>
      <c r="D66" s="7" t="s">
        <v>441</v>
      </c>
      <c r="E66" t="s">
        <v>18</v>
      </c>
      <c r="F66">
        <v>65</v>
      </c>
    </row>
    <row r="67" spans="1:6" x14ac:dyDescent="0.3">
      <c r="A67" t="s">
        <v>47</v>
      </c>
      <c r="B67" t="s">
        <v>442</v>
      </c>
      <c r="C67" t="s">
        <v>325</v>
      </c>
      <c r="D67" s="7" t="s">
        <v>443</v>
      </c>
      <c r="E67" t="s">
        <v>18</v>
      </c>
      <c r="F67">
        <v>66</v>
      </c>
    </row>
    <row r="68" spans="1:6" x14ac:dyDescent="0.3">
      <c r="A68" t="s">
        <v>47</v>
      </c>
      <c r="B68" t="s">
        <v>444</v>
      </c>
      <c r="C68" t="s">
        <v>325</v>
      </c>
      <c r="D68" s="7" t="s">
        <v>445</v>
      </c>
      <c r="E68" t="s">
        <v>18</v>
      </c>
      <c r="F68">
        <v>67</v>
      </c>
    </row>
    <row r="69" spans="1:6" x14ac:dyDescent="0.3">
      <c r="A69" t="s">
        <v>47</v>
      </c>
      <c r="B69" t="s">
        <v>446</v>
      </c>
      <c r="C69" t="s">
        <v>325</v>
      </c>
      <c r="D69" s="7" t="s">
        <v>447</v>
      </c>
      <c r="E69" t="s">
        <v>18</v>
      </c>
      <c r="F69">
        <v>68</v>
      </c>
    </row>
    <row r="70" spans="1:6" x14ac:dyDescent="0.3">
      <c r="A70" t="s">
        <v>47</v>
      </c>
      <c r="B70" t="s">
        <v>448</v>
      </c>
      <c r="C70" t="s">
        <v>325</v>
      </c>
      <c r="D70" s="7" t="s">
        <v>449</v>
      </c>
      <c r="E70" t="s">
        <v>18</v>
      </c>
      <c r="F70">
        <v>69</v>
      </c>
    </row>
    <row r="71" spans="1:6" x14ac:dyDescent="0.3">
      <c r="A71" t="s">
        <v>47</v>
      </c>
      <c r="B71" t="s">
        <v>450</v>
      </c>
      <c r="C71" t="s">
        <v>325</v>
      </c>
      <c r="D71" s="7" t="s">
        <v>451</v>
      </c>
      <c r="E71" t="s">
        <v>18</v>
      </c>
      <c r="F71">
        <v>70</v>
      </c>
    </row>
    <row r="72" spans="1:6" x14ac:dyDescent="0.3">
      <c r="A72" t="s">
        <v>47</v>
      </c>
      <c r="B72" t="s">
        <v>452</v>
      </c>
      <c r="C72" t="s">
        <v>325</v>
      </c>
      <c r="D72" s="7" t="s">
        <v>453</v>
      </c>
      <c r="E72" t="s">
        <v>18</v>
      </c>
      <c r="F72">
        <v>71</v>
      </c>
    </row>
    <row r="73" spans="1:6" x14ac:dyDescent="0.3">
      <c r="A73" t="s">
        <v>47</v>
      </c>
      <c r="B73" t="s">
        <v>454</v>
      </c>
      <c r="C73" t="s">
        <v>325</v>
      </c>
      <c r="D73" s="7" t="s">
        <v>455</v>
      </c>
      <c r="E73" t="s">
        <v>18</v>
      </c>
      <c r="F73">
        <v>72</v>
      </c>
    </row>
    <row r="74" spans="1:6" x14ac:dyDescent="0.3">
      <c r="A74" t="s">
        <v>47</v>
      </c>
      <c r="B74" t="s">
        <v>456</v>
      </c>
      <c r="C74" t="s">
        <v>325</v>
      </c>
      <c r="D74" s="7" t="s">
        <v>457</v>
      </c>
      <c r="E74" t="s">
        <v>18</v>
      </c>
      <c r="F74">
        <v>73</v>
      </c>
    </row>
    <row r="75" spans="1:6" x14ac:dyDescent="0.3">
      <c r="A75" t="s">
        <v>47</v>
      </c>
      <c r="B75" t="s">
        <v>458</v>
      </c>
      <c r="C75" t="s">
        <v>325</v>
      </c>
      <c r="D75" s="7" t="s">
        <v>459</v>
      </c>
      <c r="E75" t="s">
        <v>18</v>
      </c>
      <c r="F75">
        <v>74</v>
      </c>
    </row>
    <row r="76" spans="1:6" x14ac:dyDescent="0.3">
      <c r="A76" t="s">
        <v>47</v>
      </c>
      <c r="B76" t="s">
        <v>460</v>
      </c>
      <c r="C76" t="s">
        <v>325</v>
      </c>
      <c r="D76" s="7" t="s">
        <v>461</v>
      </c>
      <c r="E76" t="s">
        <v>18</v>
      </c>
      <c r="F76">
        <v>75</v>
      </c>
    </row>
    <row r="77" spans="1:6" x14ac:dyDescent="0.3">
      <c r="A77" t="s">
        <v>47</v>
      </c>
      <c r="B77" t="s">
        <v>462</v>
      </c>
      <c r="C77" t="s">
        <v>325</v>
      </c>
      <c r="D77" s="7" t="s">
        <v>463</v>
      </c>
      <c r="E77" t="s">
        <v>18</v>
      </c>
      <c r="F77">
        <v>76</v>
      </c>
    </row>
    <row r="78" spans="1:6" x14ac:dyDescent="0.3">
      <c r="A78" t="s">
        <v>47</v>
      </c>
      <c r="B78" t="s">
        <v>464</v>
      </c>
      <c r="C78" t="s">
        <v>325</v>
      </c>
      <c r="D78" s="7" t="s">
        <v>465</v>
      </c>
      <c r="E78" t="s">
        <v>18</v>
      </c>
      <c r="F78">
        <v>77</v>
      </c>
    </row>
    <row r="79" spans="1:6" x14ac:dyDescent="0.3">
      <c r="A79" t="s">
        <v>47</v>
      </c>
      <c r="B79" t="s">
        <v>466</v>
      </c>
      <c r="C79" t="s">
        <v>325</v>
      </c>
      <c r="D79" s="7" t="s">
        <v>467</v>
      </c>
      <c r="E79" t="s">
        <v>18</v>
      </c>
      <c r="F79">
        <v>78</v>
      </c>
    </row>
    <row r="80" spans="1:6" x14ac:dyDescent="0.3">
      <c r="A80" t="s">
        <v>47</v>
      </c>
      <c r="B80" t="s">
        <v>468</v>
      </c>
      <c r="C80" t="s">
        <v>325</v>
      </c>
      <c r="D80" s="7" t="s">
        <v>469</v>
      </c>
      <c r="E80" t="s">
        <v>18</v>
      </c>
      <c r="F80">
        <v>79</v>
      </c>
    </row>
    <row r="81" spans="1:6" x14ac:dyDescent="0.3">
      <c r="A81" t="s">
        <v>47</v>
      </c>
      <c r="B81" t="s">
        <v>470</v>
      </c>
      <c r="C81" t="s">
        <v>325</v>
      </c>
      <c r="D81" s="7" t="s">
        <v>471</v>
      </c>
      <c r="E81" t="s">
        <v>18</v>
      </c>
      <c r="F81">
        <v>80</v>
      </c>
    </row>
    <row r="82" spans="1:6" x14ac:dyDescent="0.3">
      <c r="A82" t="s">
        <v>47</v>
      </c>
      <c r="B82" t="s">
        <v>472</v>
      </c>
      <c r="C82" t="s">
        <v>325</v>
      </c>
      <c r="D82" s="7" t="s">
        <v>473</v>
      </c>
      <c r="E82" t="s">
        <v>18</v>
      </c>
      <c r="F82">
        <v>81</v>
      </c>
    </row>
    <row r="83" spans="1:6" x14ac:dyDescent="0.3">
      <c r="A83" t="s">
        <v>47</v>
      </c>
      <c r="B83" t="s">
        <v>474</v>
      </c>
      <c r="C83" t="s">
        <v>325</v>
      </c>
      <c r="D83" s="7" t="s">
        <v>475</v>
      </c>
      <c r="E83" t="s">
        <v>18</v>
      </c>
      <c r="F83">
        <v>82</v>
      </c>
    </row>
    <row r="84" spans="1:6" x14ac:dyDescent="0.3">
      <c r="A84" t="s">
        <v>47</v>
      </c>
      <c r="B84" t="s">
        <v>476</v>
      </c>
      <c r="C84" t="s">
        <v>325</v>
      </c>
      <c r="D84" s="7" t="s">
        <v>477</v>
      </c>
      <c r="E84" t="s">
        <v>18</v>
      </c>
      <c r="F84">
        <v>83</v>
      </c>
    </row>
    <row r="85" spans="1:6" x14ac:dyDescent="0.3">
      <c r="A85" t="s">
        <v>47</v>
      </c>
      <c r="B85" t="s">
        <v>478</v>
      </c>
      <c r="C85" t="s">
        <v>325</v>
      </c>
      <c r="D85" s="7" t="s">
        <v>479</v>
      </c>
      <c r="E85" t="s">
        <v>18</v>
      </c>
      <c r="F85">
        <v>84</v>
      </c>
    </row>
    <row r="86" spans="1:6" x14ac:dyDescent="0.3">
      <c r="A86" t="s">
        <v>47</v>
      </c>
      <c r="B86" t="s">
        <v>480</v>
      </c>
      <c r="C86" t="s">
        <v>325</v>
      </c>
      <c r="D86" s="7" t="s">
        <v>481</v>
      </c>
      <c r="E86" t="s">
        <v>18</v>
      </c>
      <c r="F86">
        <v>85</v>
      </c>
    </row>
    <row r="87" spans="1:6" x14ac:dyDescent="0.3">
      <c r="A87" t="s">
        <v>47</v>
      </c>
      <c r="B87" t="s">
        <v>482</v>
      </c>
      <c r="C87" t="s">
        <v>325</v>
      </c>
      <c r="D87" s="7" t="s">
        <v>483</v>
      </c>
      <c r="E87" t="s">
        <v>18</v>
      </c>
      <c r="F87">
        <v>86</v>
      </c>
    </row>
    <row r="88" spans="1:6" x14ac:dyDescent="0.3">
      <c r="A88" t="s">
        <v>47</v>
      </c>
      <c r="B88" t="s">
        <v>484</v>
      </c>
      <c r="C88" t="s">
        <v>325</v>
      </c>
      <c r="D88" s="7" t="s">
        <v>485</v>
      </c>
      <c r="E88" t="s">
        <v>18</v>
      </c>
      <c r="F88">
        <v>87</v>
      </c>
    </row>
    <row r="89" spans="1:6" x14ac:dyDescent="0.3">
      <c r="A89" t="s">
        <v>47</v>
      </c>
      <c r="B89" t="s">
        <v>486</v>
      </c>
      <c r="C89" t="s">
        <v>325</v>
      </c>
      <c r="D89" s="7" t="s">
        <v>487</v>
      </c>
      <c r="E89" t="s">
        <v>18</v>
      </c>
      <c r="F89">
        <v>88</v>
      </c>
    </row>
    <row r="90" spans="1:6" x14ac:dyDescent="0.3">
      <c r="A90" t="s">
        <v>47</v>
      </c>
      <c r="B90" t="s">
        <v>488</v>
      </c>
      <c r="C90" t="s">
        <v>325</v>
      </c>
      <c r="D90" s="7" t="s">
        <v>489</v>
      </c>
      <c r="E90" t="s">
        <v>18</v>
      </c>
      <c r="F90">
        <v>89</v>
      </c>
    </row>
    <row r="91" spans="1:6" x14ac:dyDescent="0.3">
      <c r="A91" t="s">
        <v>47</v>
      </c>
      <c r="B91" t="s">
        <v>490</v>
      </c>
      <c r="C91" t="s">
        <v>325</v>
      </c>
      <c r="D91" s="7" t="s">
        <v>491</v>
      </c>
      <c r="E91" t="s">
        <v>18</v>
      </c>
      <c r="F91">
        <v>90</v>
      </c>
    </row>
    <row r="92" spans="1:6" x14ac:dyDescent="0.3">
      <c r="A92" t="s">
        <v>47</v>
      </c>
      <c r="B92" t="s">
        <v>492</v>
      </c>
      <c r="C92" t="s">
        <v>325</v>
      </c>
      <c r="D92" s="7" t="s">
        <v>493</v>
      </c>
      <c r="E92" t="s">
        <v>18</v>
      </c>
      <c r="F92">
        <v>91</v>
      </c>
    </row>
    <row r="93" spans="1:6" x14ac:dyDescent="0.3">
      <c r="A93" t="s">
        <v>47</v>
      </c>
      <c r="B93" t="s">
        <v>494</v>
      </c>
      <c r="C93" t="s">
        <v>325</v>
      </c>
      <c r="D93" s="7" t="s">
        <v>495</v>
      </c>
      <c r="E93" t="s">
        <v>18</v>
      </c>
      <c r="F93">
        <v>92</v>
      </c>
    </row>
    <row r="94" spans="1:6" x14ac:dyDescent="0.3">
      <c r="A94" t="s">
        <v>47</v>
      </c>
      <c r="B94" t="s">
        <v>496</v>
      </c>
      <c r="C94" t="s">
        <v>325</v>
      </c>
      <c r="D94" s="7" t="s">
        <v>497</v>
      </c>
      <c r="E94" t="s">
        <v>18</v>
      </c>
      <c r="F94">
        <v>93</v>
      </c>
    </row>
    <row r="95" spans="1:6" x14ac:dyDescent="0.3">
      <c r="A95" t="s">
        <v>47</v>
      </c>
      <c r="B95" t="s">
        <v>498</v>
      </c>
      <c r="C95" t="s">
        <v>325</v>
      </c>
      <c r="D95" s="7" t="s">
        <v>499</v>
      </c>
      <c r="E95" t="s">
        <v>18</v>
      </c>
      <c r="F95">
        <v>94</v>
      </c>
    </row>
    <row r="96" spans="1:6" x14ac:dyDescent="0.3">
      <c r="A96" t="s">
        <v>47</v>
      </c>
      <c r="B96" t="s">
        <v>500</v>
      </c>
      <c r="C96" t="s">
        <v>325</v>
      </c>
      <c r="D96" s="7" t="s">
        <v>501</v>
      </c>
      <c r="E96" t="s">
        <v>18</v>
      </c>
      <c r="F96">
        <v>95</v>
      </c>
    </row>
    <row r="97" spans="1:8" x14ac:dyDescent="0.3">
      <c r="A97" t="s">
        <v>47</v>
      </c>
      <c r="B97" t="s">
        <v>502</v>
      </c>
      <c r="C97" t="s">
        <v>325</v>
      </c>
      <c r="D97" s="7" t="s">
        <v>503</v>
      </c>
      <c r="E97" t="s">
        <v>18</v>
      </c>
      <c r="F97">
        <v>96</v>
      </c>
    </row>
    <row r="98" spans="1:8" x14ac:dyDescent="0.3">
      <c r="A98" t="s">
        <v>47</v>
      </c>
      <c r="B98" t="s">
        <v>504</v>
      </c>
      <c r="C98" t="s">
        <v>325</v>
      </c>
      <c r="D98" s="7" t="s">
        <v>505</v>
      </c>
      <c r="E98" t="s">
        <v>18</v>
      </c>
      <c r="F98">
        <v>97</v>
      </c>
    </row>
    <row r="99" spans="1:8" x14ac:dyDescent="0.3">
      <c r="A99" t="s">
        <v>47</v>
      </c>
      <c r="B99" t="s">
        <v>506</v>
      </c>
      <c r="C99" t="s">
        <v>325</v>
      </c>
      <c r="D99" s="7" t="s">
        <v>507</v>
      </c>
      <c r="E99" t="s">
        <v>18</v>
      </c>
      <c r="F99">
        <v>98</v>
      </c>
    </row>
    <row r="100" spans="1:8" x14ac:dyDescent="0.3">
      <c r="A100" t="s">
        <v>47</v>
      </c>
      <c r="B100" t="s">
        <v>508</v>
      </c>
      <c r="C100" t="s">
        <v>325</v>
      </c>
      <c r="D100" s="7" t="s">
        <v>509</v>
      </c>
      <c r="E100" t="s">
        <v>18</v>
      </c>
      <c r="F100">
        <v>99</v>
      </c>
    </row>
    <row r="101" spans="1:8" x14ac:dyDescent="0.3">
      <c r="A101" t="s">
        <v>47</v>
      </c>
      <c r="B101" t="s">
        <v>328</v>
      </c>
      <c r="C101" t="s">
        <v>56</v>
      </c>
      <c r="D101" s="7" t="s">
        <v>510</v>
      </c>
      <c r="E101" t="s">
        <v>28</v>
      </c>
      <c r="F101">
        <v>100</v>
      </c>
      <c r="H101" s="8"/>
    </row>
    <row r="102" spans="1:8" x14ac:dyDescent="0.3">
      <c r="A102" t="s">
        <v>47</v>
      </c>
      <c r="B102" t="s">
        <v>330</v>
      </c>
      <c r="C102" t="s">
        <v>56</v>
      </c>
      <c r="D102" s="7" t="s">
        <v>511</v>
      </c>
      <c r="E102" t="s">
        <v>28</v>
      </c>
      <c r="F102">
        <v>101</v>
      </c>
      <c r="H102" s="8"/>
    </row>
    <row r="103" spans="1:8" x14ac:dyDescent="0.3">
      <c r="A103" t="s">
        <v>47</v>
      </c>
      <c r="B103" t="s">
        <v>332</v>
      </c>
      <c r="C103" t="s">
        <v>56</v>
      </c>
      <c r="D103" s="7" t="s">
        <v>512</v>
      </c>
      <c r="E103" t="s">
        <v>28</v>
      </c>
      <c r="F103">
        <v>102</v>
      </c>
      <c r="H103" s="8"/>
    </row>
    <row r="104" spans="1:8" x14ac:dyDescent="0.3">
      <c r="A104" t="s">
        <v>47</v>
      </c>
      <c r="B104" t="s">
        <v>334</v>
      </c>
      <c r="C104" t="s">
        <v>56</v>
      </c>
      <c r="D104" s="7" t="s">
        <v>513</v>
      </c>
      <c r="E104" t="s">
        <v>28</v>
      </c>
      <c r="F104">
        <v>103</v>
      </c>
      <c r="H104" s="8"/>
    </row>
    <row r="105" spans="1:8" x14ac:dyDescent="0.3">
      <c r="A105" t="s">
        <v>47</v>
      </c>
      <c r="B105" t="s">
        <v>336</v>
      </c>
      <c r="C105" t="s">
        <v>56</v>
      </c>
      <c r="D105" s="7" t="s">
        <v>514</v>
      </c>
      <c r="E105" t="s">
        <v>28</v>
      </c>
      <c r="F105">
        <v>104</v>
      </c>
      <c r="H105" s="8"/>
    </row>
    <row r="106" spans="1:8" x14ac:dyDescent="0.3">
      <c r="A106" t="s">
        <v>47</v>
      </c>
      <c r="B106" t="s">
        <v>338</v>
      </c>
      <c r="C106" t="s">
        <v>56</v>
      </c>
      <c r="D106" s="7" t="s">
        <v>515</v>
      </c>
      <c r="E106" t="s">
        <v>28</v>
      </c>
      <c r="F106">
        <v>105</v>
      </c>
      <c r="H106" s="8"/>
    </row>
    <row r="107" spans="1:8" x14ac:dyDescent="0.3">
      <c r="A107" t="s">
        <v>47</v>
      </c>
      <c r="B107" t="s">
        <v>340</v>
      </c>
      <c r="C107" t="s">
        <v>56</v>
      </c>
      <c r="D107" s="7" t="s">
        <v>516</v>
      </c>
      <c r="E107" t="s">
        <v>28</v>
      </c>
      <c r="F107">
        <v>106</v>
      </c>
      <c r="H107" s="8"/>
    </row>
    <row r="108" spans="1:8" x14ac:dyDescent="0.3">
      <c r="A108" t="s">
        <v>47</v>
      </c>
      <c r="B108" t="s">
        <v>342</v>
      </c>
      <c r="C108" t="s">
        <v>56</v>
      </c>
      <c r="D108" s="7" t="s">
        <v>517</v>
      </c>
      <c r="E108" t="s">
        <v>28</v>
      </c>
      <c r="F108">
        <v>107</v>
      </c>
      <c r="H108" s="8"/>
    </row>
    <row r="109" spans="1:8" x14ac:dyDescent="0.3">
      <c r="A109" t="s">
        <v>47</v>
      </c>
      <c r="B109" t="s">
        <v>344</v>
      </c>
      <c r="C109" t="s">
        <v>56</v>
      </c>
      <c r="D109" s="7" t="s">
        <v>518</v>
      </c>
      <c r="E109" t="s">
        <v>28</v>
      </c>
      <c r="F109">
        <v>108</v>
      </c>
      <c r="H109" s="8"/>
    </row>
    <row r="110" spans="1:8" x14ac:dyDescent="0.3">
      <c r="A110" t="s">
        <v>47</v>
      </c>
      <c r="B110" t="s">
        <v>346</v>
      </c>
      <c r="C110" t="s">
        <v>56</v>
      </c>
      <c r="D110" s="7" t="s">
        <v>519</v>
      </c>
      <c r="E110" t="s">
        <v>28</v>
      </c>
      <c r="F110">
        <v>109</v>
      </c>
      <c r="H110" s="8"/>
    </row>
    <row r="111" spans="1:8" x14ac:dyDescent="0.3">
      <c r="A111" t="s">
        <v>47</v>
      </c>
      <c r="B111" t="s">
        <v>348</v>
      </c>
      <c r="C111" t="s">
        <v>56</v>
      </c>
      <c r="D111" s="7" t="s">
        <v>520</v>
      </c>
      <c r="E111" t="s">
        <v>28</v>
      </c>
      <c r="F111">
        <v>110</v>
      </c>
      <c r="H111" s="8"/>
    </row>
    <row r="112" spans="1:8" x14ac:dyDescent="0.3">
      <c r="A112" t="s">
        <v>47</v>
      </c>
      <c r="B112" t="s">
        <v>350</v>
      </c>
      <c r="C112" t="s">
        <v>56</v>
      </c>
      <c r="D112" s="7" t="s">
        <v>521</v>
      </c>
      <c r="E112" t="s">
        <v>28</v>
      </c>
      <c r="F112">
        <v>111</v>
      </c>
      <c r="H112" s="8"/>
    </row>
    <row r="113" spans="1:8" x14ac:dyDescent="0.3">
      <c r="A113" t="s">
        <v>47</v>
      </c>
      <c r="B113" t="s">
        <v>352</v>
      </c>
      <c r="C113" t="s">
        <v>56</v>
      </c>
      <c r="D113" s="7" t="s">
        <v>522</v>
      </c>
      <c r="E113" t="s">
        <v>28</v>
      </c>
      <c r="F113">
        <v>112</v>
      </c>
      <c r="H113" s="8"/>
    </row>
    <row r="114" spans="1:8" x14ac:dyDescent="0.3">
      <c r="A114" t="s">
        <v>47</v>
      </c>
      <c r="B114" t="s">
        <v>354</v>
      </c>
      <c r="C114" t="s">
        <v>56</v>
      </c>
      <c r="D114" s="7" t="s">
        <v>523</v>
      </c>
      <c r="E114" t="s">
        <v>28</v>
      </c>
      <c r="F114">
        <v>113</v>
      </c>
      <c r="H114" s="8"/>
    </row>
    <row r="115" spans="1:8" x14ac:dyDescent="0.3">
      <c r="A115" t="s">
        <v>47</v>
      </c>
      <c r="B115" t="s">
        <v>356</v>
      </c>
      <c r="C115" t="s">
        <v>56</v>
      </c>
      <c r="D115" s="7" t="s">
        <v>524</v>
      </c>
      <c r="E115" t="s">
        <v>28</v>
      </c>
      <c r="F115">
        <v>114</v>
      </c>
      <c r="H115" s="8"/>
    </row>
    <row r="116" spans="1:8" x14ac:dyDescent="0.3">
      <c r="A116" t="s">
        <v>47</v>
      </c>
      <c r="B116" t="s">
        <v>358</v>
      </c>
      <c r="C116" t="s">
        <v>56</v>
      </c>
      <c r="D116" s="7" t="s">
        <v>525</v>
      </c>
      <c r="E116" t="s">
        <v>28</v>
      </c>
      <c r="F116">
        <v>115</v>
      </c>
      <c r="H116" s="8"/>
    </row>
    <row r="117" spans="1:8" x14ac:dyDescent="0.3">
      <c r="A117" t="s">
        <v>47</v>
      </c>
      <c r="B117" t="s">
        <v>360</v>
      </c>
      <c r="C117" t="s">
        <v>56</v>
      </c>
      <c r="D117" s="7" t="s">
        <v>526</v>
      </c>
      <c r="E117" t="s">
        <v>28</v>
      </c>
      <c r="F117">
        <v>116</v>
      </c>
      <c r="H117" s="8"/>
    </row>
    <row r="118" spans="1:8" x14ac:dyDescent="0.3">
      <c r="A118" t="s">
        <v>47</v>
      </c>
      <c r="B118" t="s">
        <v>362</v>
      </c>
      <c r="C118" t="s">
        <v>56</v>
      </c>
      <c r="D118" s="7" t="s">
        <v>527</v>
      </c>
      <c r="E118" t="s">
        <v>28</v>
      </c>
      <c r="F118">
        <v>117</v>
      </c>
      <c r="H118" s="8"/>
    </row>
    <row r="119" spans="1:8" x14ac:dyDescent="0.3">
      <c r="A119" t="s">
        <v>47</v>
      </c>
      <c r="B119" t="s">
        <v>364</v>
      </c>
      <c r="C119" t="s">
        <v>56</v>
      </c>
      <c r="D119" s="7" t="s">
        <v>528</v>
      </c>
      <c r="E119" t="s">
        <v>28</v>
      </c>
      <c r="F119">
        <v>118</v>
      </c>
      <c r="H119" s="8"/>
    </row>
    <row r="120" spans="1:8" x14ac:dyDescent="0.3">
      <c r="A120" t="s">
        <v>47</v>
      </c>
      <c r="B120" t="s">
        <v>366</v>
      </c>
      <c r="C120" t="s">
        <v>56</v>
      </c>
      <c r="D120" s="7" t="s">
        <v>529</v>
      </c>
      <c r="E120" t="s">
        <v>28</v>
      </c>
      <c r="F120">
        <v>119</v>
      </c>
      <c r="H120" s="8"/>
    </row>
    <row r="121" spans="1:8" x14ac:dyDescent="0.3">
      <c r="A121" t="s">
        <v>47</v>
      </c>
      <c r="B121" t="s">
        <v>368</v>
      </c>
      <c r="C121" t="s">
        <v>56</v>
      </c>
      <c r="D121" s="7" t="s">
        <v>530</v>
      </c>
      <c r="E121" t="s">
        <v>28</v>
      </c>
      <c r="F121">
        <v>120</v>
      </c>
      <c r="H121" s="8"/>
    </row>
    <row r="122" spans="1:8" x14ac:dyDescent="0.3">
      <c r="A122" t="s">
        <v>47</v>
      </c>
      <c r="B122" t="s">
        <v>370</v>
      </c>
      <c r="C122" t="s">
        <v>56</v>
      </c>
      <c r="D122" s="7" t="s">
        <v>531</v>
      </c>
      <c r="E122" t="s">
        <v>28</v>
      </c>
      <c r="F122">
        <v>121</v>
      </c>
      <c r="H122" s="8"/>
    </row>
    <row r="123" spans="1:8" x14ac:dyDescent="0.3">
      <c r="A123" t="s">
        <v>47</v>
      </c>
      <c r="B123" t="s">
        <v>372</v>
      </c>
      <c r="C123" t="s">
        <v>56</v>
      </c>
      <c r="D123" s="7" t="s">
        <v>532</v>
      </c>
      <c r="E123" t="s">
        <v>28</v>
      </c>
      <c r="F123">
        <v>122</v>
      </c>
      <c r="H123" s="8"/>
    </row>
    <row r="124" spans="1:8" x14ac:dyDescent="0.3">
      <c r="A124" t="s">
        <v>47</v>
      </c>
      <c r="B124" t="s">
        <v>374</v>
      </c>
      <c r="C124" t="s">
        <v>56</v>
      </c>
      <c r="D124" s="7" t="s">
        <v>533</v>
      </c>
      <c r="E124" t="s">
        <v>28</v>
      </c>
      <c r="F124">
        <v>123</v>
      </c>
      <c r="H124" s="8"/>
    </row>
    <row r="125" spans="1:8" x14ac:dyDescent="0.3">
      <c r="A125" t="s">
        <v>47</v>
      </c>
      <c r="B125" t="s">
        <v>376</v>
      </c>
      <c r="C125" t="s">
        <v>56</v>
      </c>
      <c r="D125" s="7" t="s">
        <v>534</v>
      </c>
      <c r="E125" t="s">
        <v>28</v>
      </c>
      <c r="F125">
        <v>124</v>
      </c>
      <c r="H125" s="8"/>
    </row>
    <row r="126" spans="1:8" x14ac:dyDescent="0.3">
      <c r="A126" t="s">
        <v>47</v>
      </c>
      <c r="B126" t="s">
        <v>378</v>
      </c>
      <c r="C126" t="s">
        <v>56</v>
      </c>
      <c r="D126" s="7" t="s">
        <v>535</v>
      </c>
      <c r="E126" t="s">
        <v>28</v>
      </c>
      <c r="F126">
        <v>125</v>
      </c>
      <c r="H126" s="8"/>
    </row>
    <row r="127" spans="1:8" x14ac:dyDescent="0.3">
      <c r="A127" t="s">
        <v>47</v>
      </c>
      <c r="B127" t="s">
        <v>380</v>
      </c>
      <c r="C127" t="s">
        <v>56</v>
      </c>
      <c r="D127" s="7" t="s">
        <v>536</v>
      </c>
      <c r="E127" t="s">
        <v>28</v>
      </c>
      <c r="F127">
        <v>126</v>
      </c>
      <c r="H127" s="8"/>
    </row>
    <row r="128" spans="1:8" x14ac:dyDescent="0.3">
      <c r="A128" t="s">
        <v>47</v>
      </c>
      <c r="B128" t="s">
        <v>382</v>
      </c>
      <c r="C128" t="s">
        <v>56</v>
      </c>
      <c r="D128" s="7" t="s">
        <v>537</v>
      </c>
      <c r="E128" t="s">
        <v>28</v>
      </c>
      <c r="F128">
        <v>127</v>
      </c>
      <c r="H128" s="8"/>
    </row>
    <row r="129" spans="1:8" x14ac:dyDescent="0.3">
      <c r="A129" t="s">
        <v>47</v>
      </c>
      <c r="B129" t="s">
        <v>384</v>
      </c>
      <c r="C129" t="s">
        <v>56</v>
      </c>
      <c r="D129" s="7" t="s">
        <v>538</v>
      </c>
      <c r="E129" t="s">
        <v>28</v>
      </c>
      <c r="F129">
        <v>128</v>
      </c>
      <c r="H129" s="8"/>
    </row>
    <row r="130" spans="1:8" x14ac:dyDescent="0.3">
      <c r="A130" t="s">
        <v>47</v>
      </c>
      <c r="B130" t="s">
        <v>386</v>
      </c>
      <c r="C130" t="s">
        <v>56</v>
      </c>
      <c r="D130" s="7" t="s">
        <v>539</v>
      </c>
      <c r="E130" t="s">
        <v>28</v>
      </c>
      <c r="F130">
        <v>129</v>
      </c>
      <c r="H130" s="8"/>
    </row>
    <row r="131" spans="1:8" x14ac:dyDescent="0.3">
      <c r="A131" t="s">
        <v>47</v>
      </c>
      <c r="B131" t="s">
        <v>388</v>
      </c>
      <c r="C131" t="s">
        <v>56</v>
      </c>
      <c r="D131" s="7" t="s">
        <v>540</v>
      </c>
      <c r="E131" t="s">
        <v>28</v>
      </c>
      <c r="F131">
        <v>130</v>
      </c>
      <c r="H131" s="8"/>
    </row>
    <row r="132" spans="1:8" x14ac:dyDescent="0.3">
      <c r="A132" t="s">
        <v>47</v>
      </c>
      <c r="B132" t="s">
        <v>390</v>
      </c>
      <c r="C132" t="s">
        <v>56</v>
      </c>
      <c r="D132" s="7" t="s">
        <v>541</v>
      </c>
      <c r="E132" t="s">
        <v>28</v>
      </c>
      <c r="F132">
        <v>131</v>
      </c>
      <c r="H132" s="8"/>
    </row>
    <row r="133" spans="1:8" x14ac:dyDescent="0.3">
      <c r="A133" t="s">
        <v>47</v>
      </c>
      <c r="B133" t="s">
        <v>392</v>
      </c>
      <c r="C133" t="s">
        <v>56</v>
      </c>
      <c r="D133" s="7" t="s">
        <v>542</v>
      </c>
      <c r="E133" t="s">
        <v>28</v>
      </c>
      <c r="F133">
        <v>132</v>
      </c>
      <c r="H133" s="8"/>
    </row>
    <row r="134" spans="1:8" x14ac:dyDescent="0.3">
      <c r="A134" t="s">
        <v>47</v>
      </c>
      <c r="B134" t="s">
        <v>394</v>
      </c>
      <c r="C134" t="s">
        <v>56</v>
      </c>
      <c r="D134" s="7" t="s">
        <v>543</v>
      </c>
      <c r="E134" t="s">
        <v>28</v>
      </c>
      <c r="F134">
        <v>133</v>
      </c>
      <c r="H134" s="8"/>
    </row>
    <row r="135" spans="1:8" x14ac:dyDescent="0.3">
      <c r="A135" t="s">
        <v>47</v>
      </c>
      <c r="B135" t="s">
        <v>396</v>
      </c>
      <c r="C135" t="s">
        <v>56</v>
      </c>
      <c r="D135" s="7" t="s">
        <v>544</v>
      </c>
      <c r="E135" t="s">
        <v>28</v>
      </c>
      <c r="F135">
        <v>134</v>
      </c>
      <c r="H135" s="8"/>
    </row>
    <row r="136" spans="1:8" x14ac:dyDescent="0.3">
      <c r="A136" t="s">
        <v>47</v>
      </c>
      <c r="B136" t="s">
        <v>398</v>
      </c>
      <c r="C136" t="s">
        <v>56</v>
      </c>
      <c r="D136" s="7" t="s">
        <v>545</v>
      </c>
      <c r="E136" t="s">
        <v>28</v>
      </c>
      <c r="F136">
        <v>135</v>
      </c>
      <c r="H136" s="8"/>
    </row>
    <row r="137" spans="1:8" x14ac:dyDescent="0.3">
      <c r="A137" t="s">
        <v>47</v>
      </c>
      <c r="B137" t="s">
        <v>400</v>
      </c>
      <c r="C137" t="s">
        <v>56</v>
      </c>
      <c r="D137" s="7" t="s">
        <v>546</v>
      </c>
      <c r="E137" t="s">
        <v>28</v>
      </c>
      <c r="F137">
        <v>136</v>
      </c>
      <c r="H137" s="8"/>
    </row>
    <row r="138" spans="1:8" x14ac:dyDescent="0.3">
      <c r="A138" t="s">
        <v>47</v>
      </c>
      <c r="B138" t="s">
        <v>402</v>
      </c>
      <c r="C138" t="s">
        <v>56</v>
      </c>
      <c r="D138" s="7" t="s">
        <v>547</v>
      </c>
      <c r="E138" t="s">
        <v>28</v>
      </c>
      <c r="F138">
        <v>137</v>
      </c>
      <c r="H138" s="8"/>
    </row>
    <row r="139" spans="1:8" x14ac:dyDescent="0.3">
      <c r="A139" t="s">
        <v>47</v>
      </c>
      <c r="B139" t="s">
        <v>404</v>
      </c>
      <c r="C139" t="s">
        <v>56</v>
      </c>
      <c r="D139" s="7" t="s">
        <v>548</v>
      </c>
      <c r="E139" t="s">
        <v>28</v>
      </c>
      <c r="F139">
        <v>138</v>
      </c>
      <c r="H139" s="8"/>
    </row>
    <row r="140" spans="1:8" x14ac:dyDescent="0.3">
      <c r="A140" t="s">
        <v>47</v>
      </c>
      <c r="B140" t="s">
        <v>406</v>
      </c>
      <c r="C140" t="s">
        <v>56</v>
      </c>
      <c r="D140" s="7" t="s">
        <v>549</v>
      </c>
      <c r="E140" t="s">
        <v>28</v>
      </c>
      <c r="F140">
        <v>139</v>
      </c>
      <c r="H140" s="8"/>
    </row>
    <row r="141" spans="1:8" x14ac:dyDescent="0.3">
      <c r="A141" t="s">
        <v>47</v>
      </c>
      <c r="B141" t="s">
        <v>408</v>
      </c>
      <c r="C141" t="s">
        <v>56</v>
      </c>
      <c r="D141" s="7" t="s">
        <v>550</v>
      </c>
      <c r="E141" t="s">
        <v>28</v>
      </c>
      <c r="F141">
        <v>140</v>
      </c>
      <c r="H141" s="8"/>
    </row>
    <row r="142" spans="1:8" x14ac:dyDescent="0.3">
      <c r="A142" t="s">
        <v>47</v>
      </c>
      <c r="B142" t="s">
        <v>410</v>
      </c>
      <c r="C142" t="s">
        <v>56</v>
      </c>
      <c r="D142" s="7" t="s">
        <v>551</v>
      </c>
      <c r="E142" t="s">
        <v>28</v>
      </c>
      <c r="F142">
        <v>141</v>
      </c>
      <c r="H142" s="8"/>
    </row>
    <row r="143" spans="1:8" x14ac:dyDescent="0.3">
      <c r="A143" t="s">
        <v>47</v>
      </c>
      <c r="B143" t="s">
        <v>412</v>
      </c>
      <c r="C143" t="s">
        <v>56</v>
      </c>
      <c r="D143" s="7" t="s">
        <v>552</v>
      </c>
      <c r="E143" t="s">
        <v>28</v>
      </c>
      <c r="F143">
        <v>142</v>
      </c>
      <c r="H143" s="8"/>
    </row>
    <row r="144" spans="1:8" x14ac:dyDescent="0.3">
      <c r="A144" t="s">
        <v>47</v>
      </c>
      <c r="B144" t="s">
        <v>414</v>
      </c>
      <c r="C144" t="s">
        <v>56</v>
      </c>
      <c r="D144" s="7" t="s">
        <v>553</v>
      </c>
      <c r="E144" t="s">
        <v>28</v>
      </c>
      <c r="F144">
        <v>143</v>
      </c>
      <c r="H144" s="8"/>
    </row>
    <row r="145" spans="1:8" x14ac:dyDescent="0.3">
      <c r="A145" t="s">
        <v>47</v>
      </c>
      <c r="B145" t="s">
        <v>416</v>
      </c>
      <c r="C145" t="s">
        <v>56</v>
      </c>
      <c r="D145" s="7" t="s">
        <v>554</v>
      </c>
      <c r="E145" t="s">
        <v>28</v>
      </c>
      <c r="F145">
        <v>144</v>
      </c>
      <c r="H145" s="8"/>
    </row>
    <row r="146" spans="1:8" x14ac:dyDescent="0.3">
      <c r="A146" t="s">
        <v>47</v>
      </c>
      <c r="B146" t="s">
        <v>418</v>
      </c>
      <c r="C146" t="s">
        <v>56</v>
      </c>
      <c r="D146" s="7" t="s">
        <v>555</v>
      </c>
      <c r="E146" t="s">
        <v>28</v>
      </c>
      <c r="F146">
        <v>145</v>
      </c>
      <c r="H146" s="8"/>
    </row>
    <row r="147" spans="1:8" x14ac:dyDescent="0.3">
      <c r="A147" t="s">
        <v>47</v>
      </c>
      <c r="B147" t="s">
        <v>420</v>
      </c>
      <c r="C147" t="s">
        <v>56</v>
      </c>
      <c r="D147" s="7" t="s">
        <v>556</v>
      </c>
      <c r="E147" t="s">
        <v>28</v>
      </c>
      <c r="F147">
        <v>146</v>
      </c>
      <c r="H147" s="8"/>
    </row>
    <row r="148" spans="1:8" x14ac:dyDescent="0.3">
      <c r="A148" t="s">
        <v>47</v>
      </c>
      <c r="B148" t="s">
        <v>422</v>
      </c>
      <c r="C148" t="s">
        <v>56</v>
      </c>
      <c r="D148" s="7" t="s">
        <v>557</v>
      </c>
      <c r="E148" t="s">
        <v>28</v>
      </c>
      <c r="F148">
        <v>147</v>
      </c>
      <c r="H148" s="8"/>
    </row>
    <row r="149" spans="1:8" x14ac:dyDescent="0.3">
      <c r="A149" t="s">
        <v>47</v>
      </c>
      <c r="B149" t="s">
        <v>424</v>
      </c>
      <c r="C149" t="s">
        <v>56</v>
      </c>
      <c r="D149" s="7" t="s">
        <v>558</v>
      </c>
      <c r="E149" t="s">
        <v>28</v>
      </c>
      <c r="F149">
        <v>148</v>
      </c>
      <c r="H149" s="8"/>
    </row>
    <row r="150" spans="1:8" x14ac:dyDescent="0.3">
      <c r="A150" t="s">
        <v>47</v>
      </c>
      <c r="B150" t="s">
        <v>426</v>
      </c>
      <c r="C150" t="s">
        <v>56</v>
      </c>
      <c r="D150" s="7" t="s">
        <v>559</v>
      </c>
      <c r="E150" t="s">
        <v>28</v>
      </c>
      <c r="F150">
        <v>149</v>
      </c>
      <c r="H150" s="8"/>
    </row>
    <row r="151" spans="1:8" x14ac:dyDescent="0.3">
      <c r="A151" t="s">
        <v>47</v>
      </c>
      <c r="B151" t="s">
        <v>428</v>
      </c>
      <c r="C151" t="s">
        <v>56</v>
      </c>
      <c r="D151" s="7" t="s">
        <v>560</v>
      </c>
      <c r="E151" t="s">
        <v>28</v>
      </c>
      <c r="F151">
        <v>150</v>
      </c>
      <c r="H151" s="8"/>
    </row>
    <row r="152" spans="1:8" x14ac:dyDescent="0.3">
      <c r="A152" t="s">
        <v>47</v>
      </c>
      <c r="B152" t="s">
        <v>430</v>
      </c>
      <c r="C152" t="s">
        <v>56</v>
      </c>
      <c r="D152" s="7" t="s">
        <v>561</v>
      </c>
      <c r="E152" t="s">
        <v>28</v>
      </c>
      <c r="F152">
        <v>151</v>
      </c>
      <c r="H152" s="8"/>
    </row>
    <row r="153" spans="1:8" x14ac:dyDescent="0.3">
      <c r="A153" t="s">
        <v>47</v>
      </c>
      <c r="B153" t="s">
        <v>432</v>
      </c>
      <c r="C153" t="s">
        <v>56</v>
      </c>
      <c r="D153" s="7" t="s">
        <v>562</v>
      </c>
      <c r="E153" t="s">
        <v>28</v>
      </c>
      <c r="F153">
        <v>152</v>
      </c>
      <c r="H153" s="8"/>
    </row>
    <row r="154" spans="1:8" x14ac:dyDescent="0.3">
      <c r="A154" t="s">
        <v>47</v>
      </c>
      <c r="B154" t="s">
        <v>434</v>
      </c>
      <c r="C154" t="s">
        <v>56</v>
      </c>
      <c r="D154" s="7" t="s">
        <v>563</v>
      </c>
      <c r="E154" t="s">
        <v>28</v>
      </c>
      <c r="F154">
        <v>153</v>
      </c>
      <c r="H154" s="8"/>
    </row>
    <row r="155" spans="1:8" x14ac:dyDescent="0.3">
      <c r="A155" t="s">
        <v>47</v>
      </c>
      <c r="B155" t="s">
        <v>436</v>
      </c>
      <c r="C155" t="s">
        <v>56</v>
      </c>
      <c r="D155" s="7" t="s">
        <v>564</v>
      </c>
      <c r="E155" t="s">
        <v>28</v>
      </c>
      <c r="F155">
        <v>154</v>
      </c>
      <c r="H155" s="8"/>
    </row>
    <row r="156" spans="1:8" x14ac:dyDescent="0.3">
      <c r="A156" t="s">
        <v>47</v>
      </c>
      <c r="B156" t="s">
        <v>438</v>
      </c>
      <c r="C156" t="s">
        <v>56</v>
      </c>
      <c r="D156" s="7" t="s">
        <v>565</v>
      </c>
      <c r="E156" t="s">
        <v>28</v>
      </c>
      <c r="F156">
        <v>155</v>
      </c>
      <c r="H156" s="8"/>
    </row>
    <row r="157" spans="1:8" x14ac:dyDescent="0.3">
      <c r="A157" t="s">
        <v>47</v>
      </c>
      <c r="B157" t="s">
        <v>440</v>
      </c>
      <c r="C157" t="s">
        <v>56</v>
      </c>
      <c r="D157" s="7" t="s">
        <v>566</v>
      </c>
      <c r="E157" t="s">
        <v>28</v>
      </c>
      <c r="F157">
        <v>156</v>
      </c>
      <c r="H157" s="8"/>
    </row>
    <row r="158" spans="1:8" x14ac:dyDescent="0.3">
      <c r="A158" t="s">
        <v>47</v>
      </c>
      <c r="B158" t="s">
        <v>442</v>
      </c>
      <c r="C158" t="s">
        <v>56</v>
      </c>
      <c r="D158" s="7" t="s">
        <v>567</v>
      </c>
      <c r="E158" t="s">
        <v>28</v>
      </c>
      <c r="F158">
        <v>157</v>
      </c>
      <c r="H158" s="8"/>
    </row>
    <row r="159" spans="1:8" x14ac:dyDescent="0.3">
      <c r="A159" t="s">
        <v>47</v>
      </c>
      <c r="B159" t="s">
        <v>444</v>
      </c>
      <c r="C159" t="s">
        <v>56</v>
      </c>
      <c r="D159" s="7" t="s">
        <v>568</v>
      </c>
      <c r="E159" t="s">
        <v>28</v>
      </c>
      <c r="F159">
        <v>158</v>
      </c>
      <c r="H159" s="8"/>
    </row>
    <row r="160" spans="1:8" x14ac:dyDescent="0.3">
      <c r="A160" t="s">
        <v>47</v>
      </c>
      <c r="B160" t="s">
        <v>446</v>
      </c>
      <c r="C160" t="s">
        <v>56</v>
      </c>
      <c r="D160" s="7" t="s">
        <v>569</v>
      </c>
      <c r="E160" t="s">
        <v>28</v>
      </c>
      <c r="F160">
        <v>159</v>
      </c>
      <c r="H160" s="8"/>
    </row>
    <row r="161" spans="1:8" x14ac:dyDescent="0.3">
      <c r="A161" t="s">
        <v>47</v>
      </c>
      <c r="B161" t="s">
        <v>448</v>
      </c>
      <c r="C161" t="s">
        <v>56</v>
      </c>
      <c r="D161" s="7" t="s">
        <v>570</v>
      </c>
      <c r="E161" t="s">
        <v>28</v>
      </c>
      <c r="F161">
        <v>160</v>
      </c>
      <c r="H161" s="8"/>
    </row>
    <row r="162" spans="1:8" x14ac:dyDescent="0.3">
      <c r="A162" t="s">
        <v>47</v>
      </c>
      <c r="B162" t="s">
        <v>450</v>
      </c>
      <c r="C162" t="s">
        <v>56</v>
      </c>
      <c r="D162" s="7" t="s">
        <v>571</v>
      </c>
      <c r="E162" t="s">
        <v>28</v>
      </c>
      <c r="F162">
        <v>161</v>
      </c>
      <c r="H162" s="8"/>
    </row>
    <row r="163" spans="1:8" x14ac:dyDescent="0.3">
      <c r="A163" t="s">
        <v>47</v>
      </c>
      <c r="B163" t="s">
        <v>452</v>
      </c>
      <c r="C163" t="s">
        <v>56</v>
      </c>
      <c r="D163" s="7" t="s">
        <v>572</v>
      </c>
      <c r="E163" t="s">
        <v>28</v>
      </c>
      <c r="F163">
        <v>162</v>
      </c>
      <c r="H163" s="8"/>
    </row>
    <row r="164" spans="1:8" x14ac:dyDescent="0.3">
      <c r="A164" t="s">
        <v>47</v>
      </c>
      <c r="B164" t="s">
        <v>454</v>
      </c>
      <c r="C164" t="s">
        <v>56</v>
      </c>
      <c r="D164" s="7" t="s">
        <v>573</v>
      </c>
      <c r="E164" t="s">
        <v>28</v>
      </c>
      <c r="F164">
        <v>163</v>
      </c>
      <c r="H164" s="8"/>
    </row>
    <row r="165" spans="1:8" x14ac:dyDescent="0.3">
      <c r="A165" t="s">
        <v>47</v>
      </c>
      <c r="B165" t="s">
        <v>456</v>
      </c>
      <c r="C165" t="s">
        <v>56</v>
      </c>
      <c r="D165" s="7" t="s">
        <v>574</v>
      </c>
      <c r="E165" t="s">
        <v>28</v>
      </c>
      <c r="F165">
        <v>164</v>
      </c>
      <c r="H165" s="8"/>
    </row>
    <row r="166" spans="1:8" x14ac:dyDescent="0.3">
      <c r="A166" t="s">
        <v>47</v>
      </c>
      <c r="B166" t="s">
        <v>458</v>
      </c>
      <c r="C166" t="s">
        <v>56</v>
      </c>
      <c r="D166" s="7" t="s">
        <v>575</v>
      </c>
      <c r="E166" t="s">
        <v>28</v>
      </c>
      <c r="F166">
        <v>165</v>
      </c>
      <c r="H166" s="8"/>
    </row>
    <row r="167" spans="1:8" x14ac:dyDescent="0.3">
      <c r="A167" t="s">
        <v>47</v>
      </c>
      <c r="B167" t="s">
        <v>460</v>
      </c>
      <c r="C167" t="s">
        <v>56</v>
      </c>
      <c r="D167" s="7" t="s">
        <v>576</v>
      </c>
      <c r="E167" t="s">
        <v>28</v>
      </c>
      <c r="F167">
        <v>166</v>
      </c>
      <c r="H167" s="8"/>
    </row>
    <row r="168" spans="1:8" x14ac:dyDescent="0.3">
      <c r="A168" t="s">
        <v>47</v>
      </c>
      <c r="B168" t="s">
        <v>462</v>
      </c>
      <c r="C168" t="s">
        <v>56</v>
      </c>
      <c r="D168" s="7" t="s">
        <v>577</v>
      </c>
      <c r="E168" t="s">
        <v>28</v>
      </c>
      <c r="F168">
        <v>167</v>
      </c>
      <c r="H168" s="8"/>
    </row>
    <row r="169" spans="1:8" x14ac:dyDescent="0.3">
      <c r="A169" t="s">
        <v>47</v>
      </c>
      <c r="B169" t="s">
        <v>464</v>
      </c>
      <c r="C169" t="s">
        <v>56</v>
      </c>
      <c r="D169" s="7" t="s">
        <v>578</v>
      </c>
      <c r="E169" t="s">
        <v>28</v>
      </c>
      <c r="F169">
        <v>168</v>
      </c>
      <c r="H169" s="8"/>
    </row>
    <row r="170" spans="1:8" x14ac:dyDescent="0.3">
      <c r="A170" t="s">
        <v>47</v>
      </c>
      <c r="B170" t="s">
        <v>466</v>
      </c>
      <c r="C170" t="s">
        <v>56</v>
      </c>
      <c r="D170" s="7" t="s">
        <v>579</v>
      </c>
      <c r="E170" t="s">
        <v>28</v>
      </c>
      <c r="F170">
        <v>169</v>
      </c>
      <c r="H170" s="8"/>
    </row>
    <row r="171" spans="1:8" x14ac:dyDescent="0.3">
      <c r="A171" t="s">
        <v>47</v>
      </c>
      <c r="B171" t="s">
        <v>468</v>
      </c>
      <c r="C171" t="s">
        <v>56</v>
      </c>
      <c r="D171" s="7" t="s">
        <v>580</v>
      </c>
      <c r="E171" t="s">
        <v>28</v>
      </c>
      <c r="F171">
        <v>170</v>
      </c>
      <c r="H171" s="8"/>
    </row>
    <row r="172" spans="1:8" x14ac:dyDescent="0.3">
      <c r="A172" t="s">
        <v>47</v>
      </c>
      <c r="B172" t="s">
        <v>470</v>
      </c>
      <c r="C172" t="s">
        <v>56</v>
      </c>
      <c r="D172" s="7" t="s">
        <v>581</v>
      </c>
      <c r="E172" t="s">
        <v>28</v>
      </c>
      <c r="F172">
        <v>171</v>
      </c>
      <c r="H172" s="8"/>
    </row>
    <row r="173" spans="1:8" x14ac:dyDescent="0.3">
      <c r="A173" t="s">
        <v>47</v>
      </c>
      <c r="B173" t="s">
        <v>472</v>
      </c>
      <c r="C173" t="s">
        <v>56</v>
      </c>
      <c r="D173" s="7" t="s">
        <v>582</v>
      </c>
      <c r="E173" t="s">
        <v>28</v>
      </c>
      <c r="F173">
        <v>172</v>
      </c>
      <c r="H173" s="8"/>
    </row>
    <row r="174" spans="1:8" x14ac:dyDescent="0.3">
      <c r="A174" t="s">
        <v>47</v>
      </c>
      <c r="B174" t="s">
        <v>474</v>
      </c>
      <c r="C174" t="s">
        <v>56</v>
      </c>
      <c r="D174" s="7" t="s">
        <v>583</v>
      </c>
      <c r="E174" t="s">
        <v>28</v>
      </c>
      <c r="F174">
        <v>173</v>
      </c>
      <c r="H174" s="8"/>
    </row>
    <row r="175" spans="1:8" x14ac:dyDescent="0.3">
      <c r="A175" t="s">
        <v>47</v>
      </c>
      <c r="B175" t="s">
        <v>476</v>
      </c>
      <c r="C175" t="s">
        <v>56</v>
      </c>
      <c r="D175" s="7" t="s">
        <v>584</v>
      </c>
      <c r="E175" t="s">
        <v>28</v>
      </c>
      <c r="F175">
        <v>174</v>
      </c>
      <c r="H175" s="8"/>
    </row>
    <row r="176" spans="1:8" x14ac:dyDescent="0.3">
      <c r="A176" t="s">
        <v>47</v>
      </c>
      <c r="B176" t="s">
        <v>478</v>
      </c>
      <c r="C176" t="s">
        <v>56</v>
      </c>
      <c r="D176" s="7" t="s">
        <v>585</v>
      </c>
      <c r="E176" t="s">
        <v>28</v>
      </c>
      <c r="F176">
        <v>175</v>
      </c>
      <c r="H176" s="8"/>
    </row>
    <row r="177" spans="1:8" x14ac:dyDescent="0.3">
      <c r="A177" t="s">
        <v>47</v>
      </c>
      <c r="B177" t="s">
        <v>480</v>
      </c>
      <c r="C177" t="s">
        <v>56</v>
      </c>
      <c r="D177" s="7" t="s">
        <v>586</v>
      </c>
      <c r="E177" t="s">
        <v>28</v>
      </c>
      <c r="F177">
        <v>176</v>
      </c>
      <c r="H177" s="8"/>
    </row>
    <row r="178" spans="1:8" x14ac:dyDescent="0.3">
      <c r="A178" t="s">
        <v>47</v>
      </c>
      <c r="B178" t="s">
        <v>482</v>
      </c>
      <c r="C178" t="s">
        <v>56</v>
      </c>
      <c r="D178" s="7" t="s">
        <v>587</v>
      </c>
      <c r="E178" t="s">
        <v>28</v>
      </c>
      <c r="F178">
        <v>177</v>
      </c>
      <c r="H178" s="8"/>
    </row>
    <row r="179" spans="1:8" x14ac:dyDescent="0.3">
      <c r="A179" t="s">
        <v>47</v>
      </c>
      <c r="B179" t="s">
        <v>484</v>
      </c>
      <c r="C179" t="s">
        <v>56</v>
      </c>
      <c r="D179" s="7" t="s">
        <v>588</v>
      </c>
      <c r="E179" t="s">
        <v>28</v>
      </c>
      <c r="F179">
        <v>178</v>
      </c>
      <c r="H179" s="8"/>
    </row>
    <row r="180" spans="1:8" x14ac:dyDescent="0.3">
      <c r="A180" t="s">
        <v>47</v>
      </c>
      <c r="B180" t="s">
        <v>486</v>
      </c>
      <c r="C180" t="s">
        <v>56</v>
      </c>
      <c r="D180" s="7" t="s">
        <v>589</v>
      </c>
      <c r="E180" t="s">
        <v>28</v>
      </c>
      <c r="F180">
        <v>179</v>
      </c>
      <c r="H180" s="8"/>
    </row>
    <row r="181" spans="1:8" x14ac:dyDescent="0.3">
      <c r="A181" t="s">
        <v>47</v>
      </c>
      <c r="B181" t="s">
        <v>488</v>
      </c>
      <c r="C181" t="s">
        <v>56</v>
      </c>
      <c r="D181" s="7" t="s">
        <v>590</v>
      </c>
      <c r="E181" t="s">
        <v>28</v>
      </c>
      <c r="F181">
        <v>180</v>
      </c>
      <c r="H181" s="8"/>
    </row>
    <row r="182" spans="1:8" x14ac:dyDescent="0.3">
      <c r="A182" t="s">
        <v>47</v>
      </c>
      <c r="B182" t="s">
        <v>490</v>
      </c>
      <c r="C182" t="s">
        <v>56</v>
      </c>
      <c r="D182" s="7" t="s">
        <v>591</v>
      </c>
      <c r="E182" t="s">
        <v>28</v>
      </c>
      <c r="F182">
        <v>181</v>
      </c>
      <c r="H182" s="8"/>
    </row>
    <row r="183" spans="1:8" x14ac:dyDescent="0.3">
      <c r="A183" t="s">
        <v>47</v>
      </c>
      <c r="B183" t="s">
        <v>492</v>
      </c>
      <c r="C183" t="s">
        <v>56</v>
      </c>
      <c r="D183" s="7" t="s">
        <v>592</v>
      </c>
      <c r="E183" t="s">
        <v>28</v>
      </c>
      <c r="F183">
        <v>182</v>
      </c>
      <c r="H183" s="8"/>
    </row>
    <row r="184" spans="1:8" x14ac:dyDescent="0.3">
      <c r="A184" t="s">
        <v>47</v>
      </c>
      <c r="B184" t="s">
        <v>494</v>
      </c>
      <c r="C184" t="s">
        <v>56</v>
      </c>
      <c r="D184" s="7" t="s">
        <v>593</v>
      </c>
      <c r="E184" t="s">
        <v>28</v>
      </c>
      <c r="F184">
        <v>183</v>
      </c>
      <c r="H184" s="8"/>
    </row>
    <row r="185" spans="1:8" x14ac:dyDescent="0.3">
      <c r="A185" t="s">
        <v>47</v>
      </c>
      <c r="B185" t="s">
        <v>496</v>
      </c>
      <c r="C185" t="s">
        <v>56</v>
      </c>
      <c r="D185" s="7" t="s">
        <v>594</v>
      </c>
      <c r="E185" t="s">
        <v>28</v>
      </c>
      <c r="F185">
        <v>184</v>
      </c>
      <c r="H185" s="8"/>
    </row>
    <row r="186" spans="1:8" x14ac:dyDescent="0.3">
      <c r="A186" t="s">
        <v>47</v>
      </c>
      <c r="B186" t="s">
        <v>498</v>
      </c>
      <c r="C186" t="s">
        <v>56</v>
      </c>
      <c r="D186" s="7" t="s">
        <v>595</v>
      </c>
      <c r="E186" t="s">
        <v>28</v>
      </c>
      <c r="F186">
        <v>185</v>
      </c>
      <c r="H186" s="8"/>
    </row>
    <row r="187" spans="1:8" x14ac:dyDescent="0.3">
      <c r="A187" t="s">
        <v>47</v>
      </c>
      <c r="B187" t="s">
        <v>500</v>
      </c>
      <c r="C187" t="s">
        <v>56</v>
      </c>
      <c r="D187" s="7" t="s">
        <v>596</v>
      </c>
      <c r="E187" t="s">
        <v>28</v>
      </c>
      <c r="F187">
        <v>186</v>
      </c>
      <c r="H187" s="8"/>
    </row>
    <row r="188" spans="1:8" x14ac:dyDescent="0.3">
      <c r="A188" t="s">
        <v>47</v>
      </c>
      <c r="B188" t="s">
        <v>502</v>
      </c>
      <c r="C188" t="s">
        <v>56</v>
      </c>
      <c r="D188" s="7" t="s">
        <v>597</v>
      </c>
      <c r="E188" t="s">
        <v>28</v>
      </c>
      <c r="F188">
        <v>187</v>
      </c>
      <c r="H188" s="8"/>
    </row>
    <row r="189" spans="1:8" x14ac:dyDescent="0.3">
      <c r="A189" t="s">
        <v>47</v>
      </c>
      <c r="B189" t="s">
        <v>504</v>
      </c>
      <c r="C189" t="s">
        <v>56</v>
      </c>
      <c r="D189" s="7" t="s">
        <v>598</v>
      </c>
      <c r="E189" t="s">
        <v>28</v>
      </c>
      <c r="F189">
        <v>188</v>
      </c>
      <c r="H189" s="8"/>
    </row>
    <row r="190" spans="1:8" x14ac:dyDescent="0.3">
      <c r="A190" t="s">
        <v>47</v>
      </c>
      <c r="B190" t="s">
        <v>506</v>
      </c>
      <c r="C190" t="s">
        <v>56</v>
      </c>
      <c r="D190" s="7" t="s">
        <v>599</v>
      </c>
      <c r="E190" t="s">
        <v>28</v>
      </c>
      <c r="F190">
        <v>189</v>
      </c>
      <c r="H190" s="8"/>
    </row>
    <row r="191" spans="1:8" x14ac:dyDescent="0.3">
      <c r="A191" t="s">
        <v>47</v>
      </c>
      <c r="B191" t="s">
        <v>508</v>
      </c>
      <c r="C191" t="s">
        <v>56</v>
      </c>
      <c r="D191" s="7" t="s">
        <v>600</v>
      </c>
      <c r="E191" t="s">
        <v>28</v>
      </c>
      <c r="F191">
        <v>190</v>
      </c>
      <c r="H191" s="8"/>
    </row>
    <row r="192" spans="1:8" x14ac:dyDescent="0.3">
      <c r="A192" t="s">
        <v>47</v>
      </c>
      <c r="B192" t="s">
        <v>601</v>
      </c>
      <c r="C192" t="s">
        <v>56</v>
      </c>
      <c r="D192" s="7" t="s">
        <v>602</v>
      </c>
      <c r="E192" t="s">
        <v>28</v>
      </c>
      <c r="F192">
        <v>191</v>
      </c>
      <c r="H192" s="8"/>
    </row>
    <row r="193" spans="1:8" x14ac:dyDescent="0.3">
      <c r="A193" t="s">
        <v>47</v>
      </c>
      <c r="B193" t="s">
        <v>603</v>
      </c>
      <c r="C193" t="s">
        <v>56</v>
      </c>
      <c r="D193" s="7" t="s">
        <v>604</v>
      </c>
      <c r="E193" t="s">
        <v>28</v>
      </c>
      <c r="F193">
        <v>192</v>
      </c>
      <c r="H193" s="8"/>
    </row>
    <row r="194" spans="1:8" x14ac:dyDescent="0.3">
      <c r="A194" t="s">
        <v>47</v>
      </c>
      <c r="B194" t="s">
        <v>605</v>
      </c>
      <c r="C194" t="s">
        <v>56</v>
      </c>
      <c r="D194" s="7" t="s">
        <v>606</v>
      </c>
      <c r="E194" t="s">
        <v>28</v>
      </c>
      <c r="F194">
        <v>193</v>
      </c>
      <c r="H194" s="8"/>
    </row>
    <row r="195" spans="1:8" x14ac:dyDescent="0.3">
      <c r="A195" t="s">
        <v>47</v>
      </c>
      <c r="B195" t="s">
        <v>601</v>
      </c>
      <c r="C195" t="s">
        <v>56</v>
      </c>
      <c r="D195" s="7" t="s">
        <v>602</v>
      </c>
      <c r="E195" t="s">
        <v>28</v>
      </c>
      <c r="F195">
        <v>194</v>
      </c>
      <c r="H195" s="8"/>
    </row>
    <row r="196" spans="1:8" x14ac:dyDescent="0.3">
      <c r="A196" t="s">
        <v>47</v>
      </c>
      <c r="B196" t="s">
        <v>603</v>
      </c>
      <c r="C196" t="s">
        <v>56</v>
      </c>
      <c r="D196" s="7" t="s">
        <v>604</v>
      </c>
      <c r="E196" t="s">
        <v>28</v>
      </c>
      <c r="F196">
        <v>195</v>
      </c>
      <c r="H196" s="8"/>
    </row>
    <row r="197" spans="1:8" x14ac:dyDescent="0.3">
      <c r="A197" t="s">
        <v>47</v>
      </c>
      <c r="B197" t="s">
        <v>605</v>
      </c>
      <c r="C197" t="s">
        <v>56</v>
      </c>
      <c r="D197" s="7" t="s">
        <v>606</v>
      </c>
      <c r="E197" t="s">
        <v>28</v>
      </c>
      <c r="F197">
        <v>196</v>
      </c>
      <c r="H197" s="8"/>
    </row>
  </sheetData>
  <dataValidations count="1">
    <dataValidation allowBlank="1" showInputMessage="1" showErrorMessage="1" sqref="E1 E198:E1048576" xr:uid="{97376328-F840-4415-9931-B4D5D92ACD2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2D399A7-99CE-7145-A51F-E1B0A6658189}">
          <x14:formula1>
            <xm:f>Domains!$B$2:$B$3</xm:f>
          </x14:formula1>
          <xm:sqref>E2:E8 E10:E100</xm:sqref>
        </x14:dataValidation>
        <x14:dataValidation type="list" allowBlank="1" showInputMessage="1" showErrorMessage="1" xr:uid="{38CB6B71-1BD9-C74A-8904-02608247D577}">
          <x14:formula1>
            <xm:f>Domains!$B$2:$B$4</xm:f>
          </x14:formula1>
          <xm:sqref>E9 E101:E197</xm:sqref>
        </x14:dataValidation>
        <x14:dataValidation type="list" allowBlank="1" showInputMessage="1" showErrorMessage="1" xr:uid="{04676FEB-CF81-499E-BC3B-FB222DAF48B4}">
          <x14:formula1>
            <xm:f>Templates!$B$2:$B$43</xm:f>
          </x14:formula1>
          <xm:sqref>B2:B50 A2:A197</xm:sqref>
        </x14:dataValidation>
        <x14:dataValidation type="list" allowBlank="1" showInputMessage="1" showErrorMessage="1" xr:uid="{26C161DC-3840-4E13-855B-CC02142C2A7B}">
          <x14:formula1>
            <xm:f>Categories!$B$2:$B$40</xm:f>
          </x14:formula1>
          <xm:sqref>C2:C197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7C78-D9D2-4E48-A9CE-9B1A122D86F8}">
  <dimension ref="A1:K44"/>
  <sheetViews>
    <sheetView zoomScale="140" zoomScaleNormal="140" workbookViewId="0"/>
  </sheetViews>
  <sheetFormatPr baseColWidth="10" defaultColWidth="8.88671875" defaultRowHeight="14.4" x14ac:dyDescent="0.3"/>
  <cols>
    <col min="1" max="1" width="63.88671875" bestFit="1" customWidth="1"/>
    <col min="2" max="2" width="62.6640625" bestFit="1" customWidth="1"/>
    <col min="3" max="3" width="83.88671875" style="9" bestFit="1" customWidth="1"/>
    <col min="4" max="4" width="6.109375" bestFit="1" customWidth="1"/>
    <col min="5" max="5" width="31.44140625" bestFit="1" customWidth="1"/>
    <col min="6" max="6" width="10.109375" bestFit="1" customWidth="1"/>
    <col min="7" max="8" width="48.6640625" style="9" customWidth="1"/>
    <col min="9" max="9" width="67.88671875" bestFit="1" customWidth="1"/>
    <col min="10" max="10" width="31.33203125" bestFit="1" customWidth="1"/>
    <col min="11" max="11" width="16.6640625" bestFit="1" customWidth="1"/>
  </cols>
  <sheetData>
    <row r="1" spans="1:11" s="1" customFormat="1" x14ac:dyDescent="0.3">
      <c r="A1" s="1" t="s">
        <v>1</v>
      </c>
      <c r="B1" s="1" t="s">
        <v>65</v>
      </c>
      <c r="C1" s="10" t="s">
        <v>0</v>
      </c>
      <c r="D1" s="1" t="s">
        <v>3</v>
      </c>
      <c r="E1" s="1" t="s">
        <v>41</v>
      </c>
      <c r="F1" s="1" t="s">
        <v>66</v>
      </c>
      <c r="G1" s="10" t="s">
        <v>67</v>
      </c>
      <c r="H1" s="10" t="s">
        <v>68</v>
      </c>
      <c r="I1" s="1" t="s">
        <v>69</v>
      </c>
      <c r="J1" s="1" t="s">
        <v>70</v>
      </c>
      <c r="K1" s="1" t="s">
        <v>71</v>
      </c>
    </row>
    <row r="2" spans="1:11" ht="28.8" x14ac:dyDescent="0.3">
      <c r="A2" t="s">
        <v>72</v>
      </c>
      <c r="B2" t="str">
        <f>_xlfn.REGEXREPLACE(A2,"-",".")</f>
        <v>magasins.unitaire.pricing.caisse</v>
      </c>
      <c r="C2" s="9" t="s">
        <v>73</v>
      </c>
      <c r="D2">
        <v>1</v>
      </c>
      <c r="E2" t="s">
        <v>47</v>
      </c>
      <c r="F2" t="s">
        <v>74</v>
      </c>
      <c r="G2" s="9" t="s">
        <v>75</v>
      </c>
      <c r="I2" t="s">
        <v>76</v>
      </c>
      <c r="J2" t="s">
        <v>77</v>
      </c>
      <c r="K2" s="12" t="b">
        <v>1</v>
      </c>
    </row>
    <row r="3" spans="1:11" ht="43.2" x14ac:dyDescent="0.3">
      <c r="A3" t="s">
        <v>78</v>
      </c>
      <c r="B3" t="str">
        <f t="shared" ref="B3" si="0">_xlfn.REGEXREPLACE(A3,"-",".")</f>
        <v>magasins.unitaire.pricing.etiquettes.electroniques</v>
      </c>
      <c r="C3" s="9" t="s">
        <v>79</v>
      </c>
      <c r="D3">
        <v>2</v>
      </c>
      <c r="E3" t="s">
        <v>47</v>
      </c>
      <c r="F3" t="s">
        <v>74</v>
      </c>
      <c r="G3" s="9" t="s">
        <v>80</v>
      </c>
      <c r="I3" t="s">
        <v>76</v>
      </c>
      <c r="J3" t="s">
        <v>81</v>
      </c>
      <c r="K3" s="12" t="b">
        <v>1</v>
      </c>
    </row>
    <row r="4" spans="1:11" ht="28.8" x14ac:dyDescent="0.3">
      <c r="A4" t="s">
        <v>82</v>
      </c>
      <c r="B4" t="str">
        <f>_xlfn.REGEXREPLACE(A4,"-",".")</f>
        <v>magasins.unitaire.pricing.etiquettes.papier</v>
      </c>
      <c r="C4" s="9" t="s">
        <v>83</v>
      </c>
      <c r="D4">
        <v>3</v>
      </c>
      <c r="E4" t="s">
        <v>47</v>
      </c>
      <c r="F4" t="s">
        <v>74</v>
      </c>
      <c r="G4" s="9" t="s">
        <v>84</v>
      </c>
      <c r="I4" t="s">
        <v>76</v>
      </c>
      <c r="J4" t="s">
        <v>85</v>
      </c>
      <c r="K4" s="12" t="b">
        <v>1</v>
      </c>
    </row>
    <row r="5" spans="1:11" ht="28.8" x14ac:dyDescent="0.3">
      <c r="A5" t="s">
        <v>86</v>
      </c>
      <c r="B5" t="str">
        <f t="shared" ref="B5:B6" si="1">_xlfn.REGEXREPLACE(A5,"-",".")</f>
        <v>magasins.unitaire.pricing.vue.web.magasin</v>
      </c>
      <c r="C5" s="9" t="s">
        <v>87</v>
      </c>
      <c r="D5">
        <v>4</v>
      </c>
      <c r="E5" t="s">
        <v>47</v>
      </c>
      <c r="F5" t="s">
        <v>74</v>
      </c>
      <c r="G5" s="9" t="s">
        <v>88</v>
      </c>
      <c r="I5" t="s">
        <v>76</v>
      </c>
      <c r="J5" t="s">
        <v>89</v>
      </c>
      <c r="K5" s="12" t="b">
        <v>1</v>
      </c>
    </row>
    <row r="6" spans="1:11" x14ac:dyDescent="0.3">
      <c r="A6" t="s">
        <v>90</v>
      </c>
      <c r="B6" t="str">
        <f t="shared" si="1"/>
        <v>magasins.unitaire.pricing.appli.commande.magasin</v>
      </c>
      <c r="C6" s="9" t="s">
        <v>91</v>
      </c>
      <c r="D6">
        <v>5</v>
      </c>
      <c r="E6" t="s">
        <v>47</v>
      </c>
      <c r="F6" t="s">
        <v>92</v>
      </c>
      <c r="G6" s="9" t="s">
        <v>93</v>
      </c>
      <c r="I6" t="s">
        <v>76</v>
      </c>
      <c r="J6" t="s">
        <v>94</v>
      </c>
      <c r="K6" s="12" t="b">
        <v>0</v>
      </c>
    </row>
    <row r="7" spans="1:11" x14ac:dyDescent="0.3">
      <c r="A7" t="s">
        <v>95</v>
      </c>
      <c r="B7" t="str">
        <f>_xlfn.REGEXREPLACE(A7,"-",".")</f>
        <v>variation.des.ventes.global</v>
      </c>
      <c r="C7" s="9" t="s">
        <v>607</v>
      </c>
      <c r="D7">
        <v>6</v>
      </c>
      <c r="E7" t="s">
        <v>60</v>
      </c>
      <c r="F7" t="s">
        <v>92</v>
      </c>
      <c r="G7" s="9" t="s">
        <v>608</v>
      </c>
      <c r="I7" t="s">
        <v>99</v>
      </c>
      <c r="K7" s="12" t="b">
        <v>0</v>
      </c>
    </row>
    <row r="8" spans="1:11" x14ac:dyDescent="0.3">
      <c r="A8" t="s">
        <v>100</v>
      </c>
      <c r="B8" t="str">
        <f>_xlfn.REGEXREPLACE(A8,"-",".")</f>
        <v>kpi.suivi.application.des.op.mise.a.jour.SAP</v>
      </c>
      <c r="C8" s="9" t="s">
        <v>101</v>
      </c>
      <c r="D8">
        <v>7</v>
      </c>
      <c r="E8" t="s">
        <v>63</v>
      </c>
      <c r="F8" t="s">
        <v>92</v>
      </c>
      <c r="G8" s="9" t="s">
        <v>102</v>
      </c>
      <c r="I8" t="s">
        <v>103</v>
      </c>
      <c r="K8" s="12" t="b">
        <v>0</v>
      </c>
    </row>
    <row r="9" spans="1:11" ht="144" x14ac:dyDescent="0.3">
      <c r="A9" t="s">
        <v>104</v>
      </c>
      <c r="B9" t="str">
        <f t="shared" ref="B9:B39" si="2">_xlfn.REGEXREPLACE(A9,"-",".")</f>
        <v>kpi.suivi.application.des.op.caisse</v>
      </c>
      <c r="C9" s="9" t="s">
        <v>73</v>
      </c>
      <c r="D9">
        <v>8</v>
      </c>
      <c r="E9" t="s">
        <v>63</v>
      </c>
      <c r="F9" t="s">
        <v>74</v>
      </c>
      <c r="G9" s="9" t="s">
        <v>105</v>
      </c>
      <c r="H9" s="9" t="s">
        <v>106</v>
      </c>
      <c r="I9" t="s">
        <v>107</v>
      </c>
      <c r="K9" s="12" t="b">
        <v>0</v>
      </c>
    </row>
    <row r="10" spans="1:11" ht="28.8" x14ac:dyDescent="0.3">
      <c r="A10" t="s">
        <v>609</v>
      </c>
      <c r="B10" t="str">
        <f t="shared" si="2"/>
        <v>kpi.suivi.application.des.op.caisse.produit</v>
      </c>
      <c r="C10" s="9" t="str">
        <f>_xlfn.CONCAT(C9,"- nombre de produits en erreur")</f>
        <v>Caisse- nombre de produits en erreur</v>
      </c>
      <c r="D10">
        <v>9</v>
      </c>
      <c r="E10" t="s">
        <v>63</v>
      </c>
      <c r="F10" t="s">
        <v>74</v>
      </c>
      <c r="G10" s="9" t="s">
        <v>610</v>
      </c>
      <c r="I10" t="s">
        <v>611</v>
      </c>
      <c r="J10" t="s">
        <v>612</v>
      </c>
      <c r="K10" s="12" t="b">
        <v>1</v>
      </c>
    </row>
    <row r="11" spans="1:11" ht="28.8" x14ac:dyDescent="0.3">
      <c r="A11" t="s">
        <v>613</v>
      </c>
      <c r="B11" t="str">
        <f t="shared" si="2"/>
        <v>kpi.suivi.application.des.op.caisse.magasin</v>
      </c>
      <c r="C11" s="9" t="str">
        <f>_xlfn.CONCAT(C9,"- nombre de magasins en erreur")</f>
        <v>Caisse- nombre de magasins en erreur</v>
      </c>
      <c r="D11">
        <v>10</v>
      </c>
      <c r="E11" t="s">
        <v>63</v>
      </c>
      <c r="F11" t="s">
        <v>74</v>
      </c>
      <c r="G11" s="9" t="s">
        <v>614</v>
      </c>
      <c r="I11" t="s">
        <v>615</v>
      </c>
      <c r="J11" t="s">
        <v>612</v>
      </c>
      <c r="K11" s="12" t="b">
        <v>1</v>
      </c>
    </row>
    <row r="12" spans="1:11" x14ac:dyDescent="0.3">
      <c r="A12" t="s">
        <v>108</v>
      </c>
      <c r="B12" t="str">
        <f t="shared" si="2"/>
        <v>kpi.suivi.application.des.op.etiquettes.electroniques</v>
      </c>
      <c r="C12" s="9" t="s">
        <v>79</v>
      </c>
      <c r="D12">
        <v>11</v>
      </c>
      <c r="E12" t="s">
        <v>63</v>
      </c>
      <c r="F12" t="s">
        <v>97</v>
      </c>
      <c r="I12" t="s">
        <v>107</v>
      </c>
      <c r="K12" s="12" t="b">
        <v>0</v>
      </c>
    </row>
    <row r="13" spans="1:11" ht="43.2" x14ac:dyDescent="0.3">
      <c r="A13" t="s">
        <v>616</v>
      </c>
      <c r="B13" t="str">
        <f t="shared" si="2"/>
        <v>kpi.suivi.application.des.op.etiquettes.electroniques.produit</v>
      </c>
      <c r="C13" s="9" t="str">
        <f>_xlfn.CONCAT(C12,"- nombre de produits en erreur")</f>
        <v>Etiquettes Electroniques- nombre de produits en erreur</v>
      </c>
      <c r="D13">
        <v>12</v>
      </c>
      <c r="E13" t="s">
        <v>63</v>
      </c>
      <c r="F13" t="s">
        <v>74</v>
      </c>
      <c r="G13" s="9" t="s">
        <v>617</v>
      </c>
      <c r="I13" t="s">
        <v>611</v>
      </c>
      <c r="J13" t="s">
        <v>81</v>
      </c>
      <c r="K13" s="12" t="b">
        <v>1</v>
      </c>
    </row>
    <row r="14" spans="1:11" ht="28.8" x14ac:dyDescent="0.3">
      <c r="A14" t="s">
        <v>618</v>
      </c>
      <c r="B14" t="str">
        <f t="shared" si="2"/>
        <v>kpi.suivi.application.des.op.etiquettes.electroniques.magasin</v>
      </c>
      <c r="C14" s="9" t="str">
        <f>_xlfn.CONCAT(C12,"- nombre de magasins en erreur")</f>
        <v>Etiquettes Electroniques- nombre de magasins en erreur</v>
      </c>
      <c r="D14">
        <v>13</v>
      </c>
      <c r="E14" t="s">
        <v>63</v>
      </c>
      <c r="F14" t="s">
        <v>74</v>
      </c>
      <c r="G14" s="9" t="s">
        <v>619</v>
      </c>
      <c r="I14" t="s">
        <v>615</v>
      </c>
      <c r="J14" t="s">
        <v>81</v>
      </c>
      <c r="K14" s="12" t="b">
        <v>1</v>
      </c>
    </row>
    <row r="15" spans="1:11" x14ac:dyDescent="0.3">
      <c r="A15" t="s">
        <v>110</v>
      </c>
      <c r="B15" t="str">
        <f t="shared" si="2"/>
        <v>kpi.suivi.application.des.op.etiquettes.papier</v>
      </c>
      <c r="C15" s="9" t="s">
        <v>83</v>
      </c>
      <c r="D15">
        <v>14</v>
      </c>
      <c r="E15" t="s">
        <v>63</v>
      </c>
      <c r="F15" t="s">
        <v>97</v>
      </c>
      <c r="I15" t="s">
        <v>107</v>
      </c>
      <c r="K15" s="12" t="b">
        <v>0</v>
      </c>
    </row>
    <row r="16" spans="1:11" ht="28.8" x14ac:dyDescent="0.3">
      <c r="A16" t="s">
        <v>620</v>
      </c>
      <c r="B16" t="str">
        <f t="shared" si="2"/>
        <v>kpi.suivi.application.des.op.etiquettes.papier.produit</v>
      </c>
      <c r="C16" s="9" t="str">
        <f>_xlfn.CONCAT(C15,"- nombre de produits en erreur")</f>
        <v>Etiquettes Papier- nombre de produits en erreur</v>
      </c>
      <c r="D16">
        <v>15</v>
      </c>
      <c r="E16" t="s">
        <v>63</v>
      </c>
      <c r="F16" t="s">
        <v>74</v>
      </c>
      <c r="G16" s="9" t="s">
        <v>621</v>
      </c>
      <c r="I16" t="s">
        <v>611</v>
      </c>
      <c r="J16" t="s">
        <v>85</v>
      </c>
      <c r="K16" s="12" t="b">
        <v>1</v>
      </c>
    </row>
    <row r="17" spans="1:11" ht="28.8" x14ac:dyDescent="0.3">
      <c r="A17" t="s">
        <v>622</v>
      </c>
      <c r="B17" t="str">
        <f t="shared" si="2"/>
        <v>kpi.suivi.application.des.op.etiquettes.papier.magasin</v>
      </c>
      <c r="C17" s="9" t="str">
        <f>_xlfn.CONCAT(C15,"- nombre de magasins en erreur")</f>
        <v>Etiquettes Papier- nombre de magasins en erreur</v>
      </c>
      <c r="D17">
        <v>16</v>
      </c>
      <c r="E17" t="s">
        <v>63</v>
      </c>
      <c r="F17" t="s">
        <v>74</v>
      </c>
      <c r="G17" s="9" t="s">
        <v>623</v>
      </c>
      <c r="I17" t="s">
        <v>615</v>
      </c>
      <c r="J17" t="s">
        <v>85</v>
      </c>
      <c r="K17" s="12" t="b">
        <v>1</v>
      </c>
    </row>
    <row r="18" spans="1:11" x14ac:dyDescent="0.3">
      <c r="A18" t="s">
        <v>112</v>
      </c>
      <c r="B18" t="str">
        <f t="shared" si="2"/>
        <v>kpi.suivi.application.des.op.vue.web.magasin</v>
      </c>
      <c r="C18" s="9" t="s">
        <v>87</v>
      </c>
      <c r="D18">
        <v>17</v>
      </c>
      <c r="E18" t="s">
        <v>63</v>
      </c>
      <c r="F18" t="s">
        <v>97</v>
      </c>
      <c r="I18" t="s">
        <v>107</v>
      </c>
      <c r="K18" s="12" t="b">
        <v>0</v>
      </c>
    </row>
    <row r="19" spans="1:11" ht="28.8" x14ac:dyDescent="0.3">
      <c r="A19" t="s">
        <v>624</v>
      </c>
      <c r="B19" t="str">
        <f t="shared" si="2"/>
        <v>kpi.suivi.application.des.op.vue.web.magasin.produit</v>
      </c>
      <c r="C19" s="9" t="str">
        <f>_xlfn.CONCAT(C18,"- nombre de produits en erreur")</f>
        <v>Vue Web Magasin- nombre de produits en erreur</v>
      </c>
      <c r="D19">
        <v>18</v>
      </c>
      <c r="E19" t="s">
        <v>63</v>
      </c>
      <c r="F19" t="s">
        <v>74</v>
      </c>
      <c r="G19" s="9" t="s">
        <v>625</v>
      </c>
      <c r="I19" t="s">
        <v>611</v>
      </c>
      <c r="J19" t="s">
        <v>89</v>
      </c>
      <c r="K19" s="12" t="b">
        <v>1</v>
      </c>
    </row>
    <row r="20" spans="1:11" ht="28.8" x14ac:dyDescent="0.3">
      <c r="A20" t="s">
        <v>626</v>
      </c>
      <c r="B20" t="str">
        <f t="shared" si="2"/>
        <v>kpi.suivi.application.des.op.vue.web.magasin.magasin</v>
      </c>
      <c r="C20" s="9" t="str">
        <f>_xlfn.CONCAT(C18,"- nombre de magasins en erreur")</f>
        <v>Vue Web Magasin- nombre de magasins en erreur</v>
      </c>
      <c r="D20">
        <v>19</v>
      </c>
      <c r="E20" t="s">
        <v>63</v>
      </c>
      <c r="F20" t="s">
        <v>74</v>
      </c>
      <c r="G20" s="9" t="s">
        <v>627</v>
      </c>
      <c r="I20" t="s">
        <v>615</v>
      </c>
      <c r="J20" t="s">
        <v>89</v>
      </c>
      <c r="K20" s="12" t="b">
        <v>1</v>
      </c>
    </row>
    <row r="21" spans="1:11" x14ac:dyDescent="0.3">
      <c r="A21" t="s">
        <v>114</v>
      </c>
      <c r="B21" t="str">
        <f t="shared" si="2"/>
        <v>kpi.suivi.application.des.op.appli.commande.magasin</v>
      </c>
      <c r="C21" s="9" t="s">
        <v>91</v>
      </c>
      <c r="D21">
        <v>20</v>
      </c>
      <c r="E21" t="s">
        <v>63</v>
      </c>
      <c r="F21" t="s">
        <v>97</v>
      </c>
      <c r="I21" t="s">
        <v>103</v>
      </c>
      <c r="J21" t="s">
        <v>94</v>
      </c>
      <c r="K21" s="12" t="b">
        <v>0</v>
      </c>
    </row>
    <row r="22" spans="1:11" x14ac:dyDescent="0.3">
      <c r="A22" t="s">
        <v>628</v>
      </c>
      <c r="B22" t="str">
        <f t="shared" si="2"/>
        <v>kpi.suivi.application.des.op.appli.commande.magasin.produit</v>
      </c>
      <c r="C22" s="9" t="str">
        <f>_xlfn.CONCAT(C21,"- nombre de produits en erreur")</f>
        <v>Appli commande magasin- nombre de produits en erreur</v>
      </c>
      <c r="D22">
        <v>21</v>
      </c>
      <c r="E22" t="s">
        <v>63</v>
      </c>
      <c r="F22" t="s">
        <v>92</v>
      </c>
      <c r="G22" s="9" t="s">
        <v>629</v>
      </c>
      <c r="I22" t="s">
        <v>103</v>
      </c>
      <c r="J22" t="s">
        <v>94</v>
      </c>
      <c r="K22" s="12" t="b">
        <v>0</v>
      </c>
    </row>
    <row r="23" spans="1:11" ht="28.8" x14ac:dyDescent="0.3">
      <c r="A23" t="s">
        <v>630</v>
      </c>
      <c r="B23" t="str">
        <f t="shared" si="2"/>
        <v>kpi.suivi.application.des.op.appli.commande.magasin.magasin</v>
      </c>
      <c r="C23" s="9" t="str">
        <f>_xlfn.CONCAT(C21,"- nombre de magasins en erreur")</f>
        <v>Appli commande magasin- nombre de magasins en erreur</v>
      </c>
      <c r="D23">
        <v>22</v>
      </c>
      <c r="E23" t="s">
        <v>63</v>
      </c>
      <c r="F23" t="s">
        <v>92</v>
      </c>
      <c r="G23" s="9" t="s">
        <v>631</v>
      </c>
      <c r="I23" t="s">
        <v>103</v>
      </c>
      <c r="J23" t="s">
        <v>94</v>
      </c>
      <c r="K23" s="12" t="b">
        <v>0</v>
      </c>
    </row>
    <row r="24" spans="1:11" x14ac:dyDescent="0.3">
      <c r="A24" t="s">
        <v>116</v>
      </c>
      <c r="B24" t="str">
        <f t="shared" si="2"/>
        <v>kpi.suivi.des.changements.de.prix.mise.a.jour.SAP</v>
      </c>
      <c r="C24" s="9" t="s">
        <v>101</v>
      </c>
      <c r="D24">
        <v>23</v>
      </c>
      <c r="E24" t="s">
        <v>64</v>
      </c>
      <c r="F24" t="s">
        <v>92</v>
      </c>
      <c r="G24" s="9" t="s">
        <v>102</v>
      </c>
      <c r="I24" t="s">
        <v>103</v>
      </c>
      <c r="K24" s="12" t="b">
        <v>0</v>
      </c>
    </row>
    <row r="25" spans="1:11" x14ac:dyDescent="0.3">
      <c r="A25" t="s">
        <v>117</v>
      </c>
      <c r="B25" t="str">
        <f t="shared" si="2"/>
        <v>kpi.suivi.des.changements.de.prix.caisse</v>
      </c>
      <c r="C25" s="9" t="s">
        <v>73</v>
      </c>
      <c r="D25">
        <v>24</v>
      </c>
      <c r="E25" t="s">
        <v>64</v>
      </c>
      <c r="F25" t="s">
        <v>97</v>
      </c>
      <c r="I25" t="s">
        <v>107</v>
      </c>
      <c r="K25" s="12" t="b">
        <v>0</v>
      </c>
    </row>
    <row r="26" spans="1:11" ht="28.8" x14ac:dyDescent="0.3">
      <c r="A26" t="s">
        <v>632</v>
      </c>
      <c r="B26" t="str">
        <f t="shared" si="2"/>
        <v>kpi.suivi.des.changements.de.prix.caisse.produit</v>
      </c>
      <c r="C26" s="9" t="str">
        <f>_xlfn.CONCAT(C25,"- nombre de produits en erreur")</f>
        <v>Caisse- nombre de produits en erreur</v>
      </c>
      <c r="D26">
        <v>25</v>
      </c>
      <c r="E26" t="s">
        <v>64</v>
      </c>
      <c r="F26" t="s">
        <v>74</v>
      </c>
      <c r="G26" s="9" t="s">
        <v>633</v>
      </c>
      <c r="I26" t="s">
        <v>634</v>
      </c>
      <c r="J26" t="s">
        <v>77</v>
      </c>
      <c r="K26" s="12" t="b">
        <v>1</v>
      </c>
    </row>
    <row r="27" spans="1:11" ht="28.8" x14ac:dyDescent="0.3">
      <c r="A27" t="s">
        <v>635</v>
      </c>
      <c r="B27" t="str">
        <f t="shared" si="2"/>
        <v>kpi.suivi.des.changements.de.prix.caisse.magasin</v>
      </c>
      <c r="C27" s="9" t="str">
        <f>_xlfn.CONCAT(C25,"- nombre de magasins en erreur")</f>
        <v>Caisse- nombre de magasins en erreur</v>
      </c>
      <c r="D27">
        <v>26</v>
      </c>
      <c r="E27" t="s">
        <v>64</v>
      </c>
      <c r="F27" t="s">
        <v>74</v>
      </c>
      <c r="G27" s="9" t="s">
        <v>636</v>
      </c>
      <c r="I27" t="s">
        <v>637</v>
      </c>
      <c r="J27" t="s">
        <v>77</v>
      </c>
      <c r="K27" s="12" t="b">
        <v>1</v>
      </c>
    </row>
    <row r="28" spans="1:11" x14ac:dyDescent="0.3">
      <c r="A28" t="s">
        <v>119</v>
      </c>
      <c r="B28" t="str">
        <f t="shared" si="2"/>
        <v>kpi.suivi.des.changements.de.prix.etiquettes.electroniques</v>
      </c>
      <c r="C28" s="9" t="s">
        <v>79</v>
      </c>
      <c r="D28">
        <v>27</v>
      </c>
      <c r="E28" t="s">
        <v>64</v>
      </c>
      <c r="F28" t="s">
        <v>97</v>
      </c>
      <c r="I28" t="s">
        <v>107</v>
      </c>
      <c r="K28" s="12" t="b">
        <v>0</v>
      </c>
    </row>
    <row r="29" spans="1:11" ht="43.2" x14ac:dyDescent="0.3">
      <c r="A29" t="s">
        <v>638</v>
      </c>
      <c r="B29" t="str">
        <f t="shared" si="2"/>
        <v>kpi.suivi.des.changements.de.prix.etiquettes.electroniques.produit</v>
      </c>
      <c r="C29" s="9" t="str">
        <f>_xlfn.CONCAT(C28,"- nombre de produits en erreur")</f>
        <v>Etiquettes Electroniques- nombre de produits en erreur</v>
      </c>
      <c r="D29">
        <v>28</v>
      </c>
      <c r="E29" t="s">
        <v>64</v>
      </c>
      <c r="F29" t="s">
        <v>74</v>
      </c>
      <c r="G29" s="9" t="s">
        <v>639</v>
      </c>
      <c r="I29" t="s">
        <v>634</v>
      </c>
      <c r="J29" t="s">
        <v>81</v>
      </c>
      <c r="K29" s="12" t="b">
        <v>1</v>
      </c>
    </row>
    <row r="30" spans="1:11" ht="43.2" x14ac:dyDescent="0.3">
      <c r="A30" t="s">
        <v>640</v>
      </c>
      <c r="B30" t="str">
        <f t="shared" si="2"/>
        <v>kpi.suivi.des.changements.de.prix.etiquettes.electroniques.magasin</v>
      </c>
      <c r="C30" s="9" t="str">
        <f>_xlfn.CONCAT(C28,"- nombre de magasins en erreur")</f>
        <v>Etiquettes Electroniques- nombre de magasins en erreur</v>
      </c>
      <c r="D30">
        <v>29</v>
      </c>
      <c r="E30" t="s">
        <v>64</v>
      </c>
      <c r="F30" t="s">
        <v>74</v>
      </c>
      <c r="G30" s="9" t="s">
        <v>641</v>
      </c>
      <c r="I30" t="s">
        <v>637</v>
      </c>
      <c r="J30" t="s">
        <v>81</v>
      </c>
      <c r="K30" s="12" t="b">
        <v>1</v>
      </c>
    </row>
    <row r="31" spans="1:11" x14ac:dyDescent="0.3">
      <c r="A31" t="s">
        <v>121</v>
      </c>
      <c r="B31" t="str">
        <f t="shared" si="2"/>
        <v>kpi.suivi.des.changements.de.prix.etiquettes.papier</v>
      </c>
      <c r="C31" s="9" t="s">
        <v>83</v>
      </c>
      <c r="D31">
        <v>30</v>
      </c>
      <c r="E31" t="s">
        <v>64</v>
      </c>
      <c r="F31" t="s">
        <v>97</v>
      </c>
      <c r="I31" t="s">
        <v>107</v>
      </c>
      <c r="K31" s="12" t="b">
        <v>0</v>
      </c>
    </row>
    <row r="32" spans="1:11" ht="43.2" x14ac:dyDescent="0.3">
      <c r="A32" t="str">
        <f>_xlfn.CONCAT(A31,"-produit")</f>
        <v>kpi-suivi-des-changements-de-prix-etiquettes-papier-produit</v>
      </c>
      <c r="B32" t="str">
        <f t="shared" si="2"/>
        <v>kpi.suivi.des.changements.de.prix.etiquettes.papier.produit</v>
      </c>
      <c r="C32" s="9" t="str">
        <f>_xlfn.CONCAT(C31,"- nombre de produits en erreur")</f>
        <v>Etiquettes Papier- nombre de produits en erreur</v>
      </c>
      <c r="D32">
        <v>31</v>
      </c>
      <c r="E32" t="s">
        <v>64</v>
      </c>
      <c r="F32" t="s">
        <v>74</v>
      </c>
      <c r="G32" s="9" t="s">
        <v>642</v>
      </c>
      <c r="I32" t="s">
        <v>634</v>
      </c>
      <c r="J32" t="s">
        <v>85</v>
      </c>
      <c r="K32" s="12" t="b">
        <v>1</v>
      </c>
    </row>
    <row r="33" spans="1:11" ht="28.8" x14ac:dyDescent="0.3">
      <c r="A33" t="str">
        <f>_xlfn.CONCAT(A31,"-magasin")</f>
        <v>kpi-suivi-des-changements-de-prix-etiquettes-papier-magasin</v>
      </c>
      <c r="B33" t="str">
        <f t="shared" si="2"/>
        <v>kpi.suivi.des.changements.de.prix.etiquettes.papier.magasin</v>
      </c>
      <c r="C33" s="9" t="str">
        <f>_xlfn.CONCAT(C31,"- nombre de magasins en erreur")</f>
        <v>Etiquettes Papier- nombre de magasins en erreur</v>
      </c>
      <c r="D33">
        <v>32</v>
      </c>
      <c r="E33" t="s">
        <v>64</v>
      </c>
      <c r="F33" t="s">
        <v>74</v>
      </c>
      <c r="G33" s="9" t="s">
        <v>643</v>
      </c>
      <c r="I33" t="s">
        <v>637</v>
      </c>
      <c r="J33" t="s">
        <v>85</v>
      </c>
      <c r="K33" s="12" t="b">
        <v>1</v>
      </c>
    </row>
    <row r="34" spans="1:11" x14ac:dyDescent="0.3">
      <c r="A34" t="s">
        <v>123</v>
      </c>
      <c r="B34" t="str">
        <f t="shared" si="2"/>
        <v>kpi.suivi.des.changements.de.prix.vue.web.magasin</v>
      </c>
      <c r="C34" s="9" t="s">
        <v>87</v>
      </c>
      <c r="D34">
        <v>33</v>
      </c>
      <c r="E34" t="s">
        <v>64</v>
      </c>
      <c r="F34" t="s">
        <v>97</v>
      </c>
      <c r="I34" t="s">
        <v>107</v>
      </c>
      <c r="K34" s="12" t="b">
        <v>0</v>
      </c>
    </row>
    <row r="35" spans="1:11" ht="28.8" x14ac:dyDescent="0.3">
      <c r="A35" t="str">
        <f>_xlfn.CONCAT(A34,"-produit")</f>
        <v>kpi-suivi-des-changements-de-prix-vue-web-magasin-produit</v>
      </c>
      <c r="B35" t="str">
        <f t="shared" si="2"/>
        <v>kpi.suivi.des.changements.de.prix.vue.web.magasin.produit</v>
      </c>
      <c r="C35" s="9" t="str">
        <f>_xlfn.CONCAT(C34,"- nombre de produits en erreur")</f>
        <v>Vue Web Magasin- nombre de produits en erreur</v>
      </c>
      <c r="D35">
        <v>34</v>
      </c>
      <c r="E35" t="s">
        <v>64</v>
      </c>
      <c r="F35" t="s">
        <v>74</v>
      </c>
      <c r="G35" s="9" t="s">
        <v>644</v>
      </c>
      <c r="I35" t="s">
        <v>634</v>
      </c>
      <c r="J35" t="s">
        <v>89</v>
      </c>
      <c r="K35" s="12" t="b">
        <v>1</v>
      </c>
    </row>
    <row r="36" spans="1:11" ht="28.8" x14ac:dyDescent="0.3">
      <c r="A36" t="str">
        <f>_xlfn.CONCAT(A34,"-magasin")</f>
        <v>kpi-suivi-des-changements-de-prix-vue-web-magasin-magasin</v>
      </c>
      <c r="B36" t="str">
        <f t="shared" si="2"/>
        <v>kpi.suivi.des.changements.de.prix.vue.web.magasin.magasin</v>
      </c>
      <c r="C36" s="9" t="str">
        <f>_xlfn.CONCAT(C34,"- nombre de magasins en erreur")</f>
        <v>Vue Web Magasin- nombre de magasins en erreur</v>
      </c>
      <c r="D36">
        <v>35</v>
      </c>
      <c r="E36" t="s">
        <v>64</v>
      </c>
      <c r="F36" t="s">
        <v>74</v>
      </c>
      <c r="G36" s="9" t="s">
        <v>645</v>
      </c>
      <c r="I36" t="s">
        <v>637</v>
      </c>
      <c r="J36" t="s">
        <v>89</v>
      </c>
      <c r="K36" s="12" t="b">
        <v>1</v>
      </c>
    </row>
    <row r="37" spans="1:11" x14ac:dyDescent="0.3">
      <c r="A37" t="s">
        <v>125</v>
      </c>
      <c r="B37" t="str">
        <f t="shared" si="2"/>
        <v>kpi.suivi.des.changements.de.prix.appli.commande.magasin</v>
      </c>
      <c r="C37" s="9" t="s">
        <v>91</v>
      </c>
      <c r="D37">
        <v>36</v>
      </c>
      <c r="E37" t="s">
        <v>64</v>
      </c>
      <c r="F37" t="s">
        <v>92</v>
      </c>
      <c r="G37" s="9" t="s">
        <v>646</v>
      </c>
      <c r="I37" t="s">
        <v>103</v>
      </c>
      <c r="J37" t="s">
        <v>94</v>
      </c>
      <c r="K37" s="12" t="b">
        <v>0</v>
      </c>
    </row>
    <row r="38" spans="1:11" x14ac:dyDescent="0.3">
      <c r="A38" t="str">
        <f>_xlfn.CONCAT(A37,"-produit")</f>
        <v>kpi-suivi-des-changements-de-prix-appli-commande-magasin-produit</v>
      </c>
      <c r="B38" t="str">
        <f t="shared" si="2"/>
        <v>kpi.suivi.des.changements.de.prix.appli.commande.magasin.produit</v>
      </c>
      <c r="C38" s="9" t="str">
        <f>_xlfn.CONCAT(C37,"- nombre de produits en erreur")</f>
        <v>Appli commande magasin- nombre de produits en erreur</v>
      </c>
      <c r="D38">
        <v>37</v>
      </c>
      <c r="E38" t="s">
        <v>64</v>
      </c>
      <c r="F38" t="s">
        <v>92</v>
      </c>
      <c r="G38" s="9" t="s">
        <v>629</v>
      </c>
      <c r="I38" t="s">
        <v>103</v>
      </c>
      <c r="J38" t="s">
        <v>94</v>
      </c>
      <c r="K38" s="12" t="b">
        <v>0</v>
      </c>
    </row>
    <row r="39" spans="1:11" ht="28.8" x14ac:dyDescent="0.3">
      <c r="A39" t="str">
        <f>_xlfn.CONCAT(A37,"-magasin")</f>
        <v>kpi-suivi-des-changements-de-prix-appli-commande-magasin-magasin</v>
      </c>
      <c r="B39" t="str">
        <f t="shared" si="2"/>
        <v>kpi.suivi.des.changements.de.prix.appli.commande.magasin.magasin</v>
      </c>
      <c r="C39" s="9" t="str">
        <f>_xlfn.CONCAT(C37,"- nombre de magasins en erreur")</f>
        <v>Appli commande magasin- nombre de magasins en erreur</v>
      </c>
      <c r="D39">
        <v>38</v>
      </c>
      <c r="E39" t="s">
        <v>64</v>
      </c>
      <c r="F39" t="s">
        <v>92</v>
      </c>
      <c r="G39" s="9" t="s">
        <v>631</v>
      </c>
      <c r="I39" t="s">
        <v>103</v>
      </c>
      <c r="J39" t="s">
        <v>94</v>
      </c>
      <c r="K39" s="12" t="b">
        <v>0</v>
      </c>
    </row>
    <row r="40" spans="1:11" x14ac:dyDescent="0.3">
      <c r="A40" t="s">
        <v>127</v>
      </c>
      <c r="B40" t="str">
        <f>_xlfn.REGEXREPLACE(A40,"-",".")</f>
        <v>recherche.produit.global</v>
      </c>
      <c r="C40" s="9" t="s">
        <v>22</v>
      </c>
      <c r="D40">
        <v>39</v>
      </c>
      <c r="E40" t="s">
        <v>62</v>
      </c>
      <c r="F40" t="s">
        <v>92</v>
      </c>
      <c r="G40" s="9" t="s">
        <v>128</v>
      </c>
      <c r="J40" t="s">
        <v>94</v>
      </c>
      <c r="K40" s="12" t="b">
        <v>0</v>
      </c>
    </row>
    <row r="41" spans="1:11" x14ac:dyDescent="0.3">
      <c r="A41" t="s">
        <v>647</v>
      </c>
      <c r="B41" t="str">
        <f t="shared" ref="B41:B44" si="3">_xlfn.REGEXREPLACE(A41,"-",".")</f>
        <v>recherche.produit.global.percentile</v>
      </c>
      <c r="C41" s="9" t="s">
        <v>648</v>
      </c>
      <c r="D41">
        <v>40</v>
      </c>
      <c r="E41" t="s">
        <v>62</v>
      </c>
      <c r="F41" t="s">
        <v>92</v>
      </c>
      <c r="G41" s="9" t="s">
        <v>649</v>
      </c>
      <c r="J41" t="s">
        <v>94</v>
      </c>
      <c r="K41" s="12" t="b">
        <v>0</v>
      </c>
    </row>
    <row r="42" spans="1:11" x14ac:dyDescent="0.3">
      <c r="A42" t="s">
        <v>129</v>
      </c>
      <c r="B42" t="str">
        <f t="shared" si="3"/>
        <v>echec.checkout.global</v>
      </c>
      <c r="C42" s="9" t="s">
        <v>650</v>
      </c>
      <c r="D42">
        <v>41</v>
      </c>
      <c r="E42" t="s">
        <v>25</v>
      </c>
      <c r="F42" t="s">
        <v>92</v>
      </c>
      <c r="G42" s="9" t="s">
        <v>128</v>
      </c>
      <c r="J42" t="s">
        <v>94</v>
      </c>
      <c r="K42" s="12" t="b">
        <v>0</v>
      </c>
    </row>
    <row r="43" spans="1:11" x14ac:dyDescent="0.3">
      <c r="A43" t="s">
        <v>651</v>
      </c>
      <c r="B43" t="str">
        <f t="shared" si="3"/>
        <v>echec.checkout.global.percentile</v>
      </c>
      <c r="C43" s="9" t="s">
        <v>652</v>
      </c>
      <c r="D43">
        <v>42</v>
      </c>
      <c r="E43" t="s">
        <v>25</v>
      </c>
      <c r="F43" t="s">
        <v>92</v>
      </c>
      <c r="G43" s="9" t="s">
        <v>649</v>
      </c>
      <c r="J43" t="s">
        <v>94</v>
      </c>
      <c r="K43" s="12" t="b">
        <v>0</v>
      </c>
    </row>
    <row r="44" spans="1:11" ht="28.8" x14ac:dyDescent="0.3">
      <c r="A44" t="s">
        <v>130</v>
      </c>
      <c r="B44" t="str">
        <f t="shared" si="3"/>
        <v>volumetrie.de.prix.vers.caisses.castorama</v>
      </c>
      <c r="C44" s="9" t="s">
        <v>31</v>
      </c>
      <c r="D44">
        <v>43</v>
      </c>
      <c r="E44" t="s">
        <v>32</v>
      </c>
      <c r="F44" t="s">
        <v>74</v>
      </c>
      <c r="G44" s="9" t="s">
        <v>131</v>
      </c>
      <c r="I44" t="s">
        <v>132</v>
      </c>
      <c r="J44" t="s">
        <v>133</v>
      </c>
      <c r="K44" s="12" t="b">
        <v>1</v>
      </c>
    </row>
  </sheetData>
  <dataValidations count="1">
    <dataValidation allowBlank="1" showInputMessage="1" showErrorMessage="1" sqref="F1:F1048576" xr:uid="{63C2EE4A-F317-4E7E-991C-BC2D87EB1C0B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E49C1A-3289-4EAB-9C04-2FB60DA5C952}">
          <x14:formula1>
            <xm:f>Templates!$B$2:$B$20</xm:f>
          </x14:formula1>
          <xm:sqref>E2:E44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fb83a2-8889-41f9-b194-09d8bf5f025c" xsi:nil="true"/>
    <lcf76f155ced4ddcb4097134ff3c332f xmlns="01d67e8f-127e-4eda-893d-27f79d2c8c8c">
      <Terms xmlns="http://schemas.microsoft.com/office/infopath/2007/PartnerControls"/>
    </lcf76f155ced4ddcb4097134ff3c332f>
    <SharedWithUsers xmlns="c3fb83a2-8889-41f9-b194-09d8bf5f025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B257CE95FAF1409D60FCB48BCCA567" ma:contentTypeVersion="16" ma:contentTypeDescription="Crée un document." ma:contentTypeScope="" ma:versionID="29f763f9de505c9308a04c5efb0cab4c">
  <xsd:schema xmlns:xsd="http://www.w3.org/2001/XMLSchema" xmlns:xs="http://www.w3.org/2001/XMLSchema" xmlns:p="http://schemas.microsoft.com/office/2006/metadata/properties" xmlns:ns2="c3fb83a2-8889-41f9-b194-09d8bf5f025c" xmlns:ns3="01d67e8f-127e-4eda-893d-27f79d2c8c8c" targetNamespace="http://schemas.microsoft.com/office/2006/metadata/properties" ma:root="true" ma:fieldsID="9bbb70212e6c1028d87b6937c72fc71f" ns2:_="" ns3:_="">
    <xsd:import namespace="c3fb83a2-8889-41f9-b194-09d8bf5f025c"/>
    <xsd:import namespace="01d67e8f-127e-4eda-893d-27f79d2c8c8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b83a2-8889-41f9-b194-09d8bf5f02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d2a310-1006-4f20-bed8-e787eefd3834}" ma:internalName="TaxCatchAll" ma:showField="CatchAllData" ma:web="c3fb83a2-8889-41f9-b194-09d8bf5f0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67e8f-127e-4eda-893d-27f79d2c8c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e70dee61-049a-492c-b428-fa7408699d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B6AF4E-9A9D-48AF-BCE6-8C266ECAD6B3}">
  <ds:schemaRefs>
    <ds:schemaRef ds:uri="http://schemas.microsoft.com/office/2006/metadata/properties"/>
    <ds:schemaRef ds:uri="http://schemas.microsoft.com/office/infopath/2007/PartnerControls"/>
    <ds:schemaRef ds:uri="c3fb83a2-8889-41f9-b194-09d8bf5f025c"/>
    <ds:schemaRef ds:uri="01d67e8f-127e-4eda-893d-27f79d2c8c8c"/>
  </ds:schemaRefs>
</ds:datastoreItem>
</file>

<file path=customXml/itemProps2.xml><?xml version="1.0" encoding="utf-8"?>
<ds:datastoreItem xmlns:ds="http://schemas.openxmlformats.org/officeDocument/2006/customXml" ds:itemID="{583B460D-3B24-4592-8331-647A59FEE3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fb83a2-8889-41f9-b194-09d8bf5f025c"/>
    <ds:schemaRef ds:uri="01d67e8f-127e-4eda-893d-27f79d2c8c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A389A2-22BC-4575-AA3D-37F90AB7FE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Zones</vt:lpstr>
      <vt:lpstr>Templates</vt:lpstr>
      <vt:lpstr>Domains</vt:lpstr>
      <vt:lpstr>Categories</vt:lpstr>
      <vt:lpstr>Element Discoveries</vt:lpstr>
      <vt:lpstr>Elements</vt:lpstr>
      <vt:lpstr>Items</vt:lpstr>
      <vt:lpstr>Triggers</vt:lpstr>
      <vt:lpstr>alert list</vt:lpstr>
      <vt:lpstr>Elements-old</vt:lpstr>
      <vt:lpstr>Items-old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Eymard</dc:creator>
  <cp:keywords/>
  <dc:description/>
  <cp:lastModifiedBy>Patrick Eymard</cp:lastModifiedBy>
  <cp:revision/>
  <dcterms:created xsi:type="dcterms:W3CDTF">2025-02-28T14:25:58Z</dcterms:created>
  <dcterms:modified xsi:type="dcterms:W3CDTF">2025-11-30T00:44:45Z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0x010100A4B257CE95FAF1409D60FCB48BCCA567</vt:lpwstr>
  </property>
  <property fmtid="{D5CDD505-2E9C-101B-9397-08002B2CF9AE}" pid="3" name="Order">
    <vt:r8>20354400</vt:r8>
  </property>
  <property fmtid="{D5CDD505-2E9C-101B-9397-08002B2CF9AE}" pid="4" name="ComplianceAssetId">
    <vt:lpwstr/>
  </property>
  <property fmtid="{D5CDD505-2E9C-101B-9397-08002B2CF9AE}" pid="5" name="_activity">
    <vt:lpwstr>{"FileActivityType":"9","FileActivityTimeStamp":"2025-02-28T18:26:24.900Z","FileActivityUsersOnPage":[{"DisplayName":"Romain Gille","Id":"rgille@somone.fr"}],"FileActivityNavigationId":null}</vt:lpwstr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